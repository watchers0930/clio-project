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0" documentId="13_ncr:1_{7800A994-E573-4FEE-AA41-F6D62EACEC0F}" xr6:coauthVersionLast="47" xr6:coauthVersionMax="47" xr10:uidLastSave="{00000000-0000-0000-0000-000000000000}"/>
  <bookViews>
    <workbookView xWindow="28770" yWindow="0" windowWidth="28050" windowHeight="15585" tabRatio="667" xr2:uid="{00000000-000D-0000-FFFF-FFFF00000000}"/>
  </bookViews>
  <sheets>
    <sheet name="견적" sheetId="19" r:id="rId1"/>
    <sheet name="1. 투입공수" sheetId="12" r:id="rId2"/>
    <sheet name="2. 공수산정근거" sheetId="17" r:id="rId3"/>
    <sheet name="3. 개발일정" sheetId="18" r:id="rId4"/>
  </sheets>
  <definedNames>
    <definedName name="_8_________S" hidden="1">#REF!</definedName>
    <definedName name="_9_______0_S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_ㅣㅐㅈ" localSheetId="0" hidden="1">#REF!</definedName>
    <definedName name="_ㅣㅐㅈ" hidden="1">#REF!</definedName>
    <definedName name="A1_00근거" localSheetId="0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ccessDatabase" hidden="1">"C:\My Documents\SCD\업무연락안양식.mdb"</definedName>
    <definedName name="BILL_TO_ADDRESS" localSheetId="0">#REF!</definedName>
    <definedName name="BILL_TO_ADDRESS">#REF!</definedName>
    <definedName name="BILL_TO_CONTACT" localSheetId="0">#REF!</definedName>
    <definedName name="BILL_TO_CONTACT">#REF!</definedName>
    <definedName name="BILL_TO_LABEL" localSheetId="0">#REF!</definedName>
    <definedName name="BILL_TO_LABEL">#REF!</definedName>
    <definedName name="BILL_TO_NAME" localSheetId="0">#REF!</definedName>
    <definedName name="BILL_TO_NAME">#REF!</definedName>
    <definedName name="BILL_TO_PHONE" localSheetId="0">#REF!</definedName>
    <definedName name="BILL_TO_PHONE">#REF!</definedName>
    <definedName name="BRS_FLOOR_ANALYSIS_LINES_TO_FORMAT0" localSheetId="0">#REF!</definedName>
    <definedName name="BRS_FLOOR_ANALYSIS_LINES_TO_FORMAT0">#REF!</definedName>
    <definedName name="BRS_FLOOR_ANALYSIS_LINES_TO_FORMAT1" localSheetId="0">#REF!</definedName>
    <definedName name="BRS_FLOOR_ANALYSIS_LINES_TO_FORMAT1">#REF!</definedName>
    <definedName name="BRS_FLOOR_ANALYSIS_SECTION" localSheetId="0">#REF!</definedName>
    <definedName name="BRS_FLOOR_ANALYSIS_SECTION">#REF!</definedName>
    <definedName name="CBWorkbookPriority" hidden="1">-1929190545</definedName>
    <definedName name="CFG_SECTION" localSheetId="0">#REF!</definedName>
    <definedName name="CFG_SECTION">#REF!</definedName>
    <definedName name="CFG_SUBTOTAL_ALL" localSheetId="0">#REF!</definedName>
    <definedName name="CFG_SUBTOTAL_ALL">#REF!</definedName>
    <definedName name="CFG_SUBTOTAL_HW" localSheetId="0">#REF!</definedName>
    <definedName name="CFG_SUBTOTAL_HW">#REF!</definedName>
    <definedName name="CFG_SUBTOTAL_MW" localSheetId="0">#REF!</definedName>
    <definedName name="CFG_SUBTOTAL_MW">#REF!</definedName>
    <definedName name="CFG_SUBTOTAL_PS" localSheetId="0">#REF!</definedName>
    <definedName name="CFG_SUBTOTAL_PS">#REF!</definedName>
    <definedName name="CFG_SUBTOTAL_SECTION" localSheetId="0">#REF!</definedName>
    <definedName name="CFG_SUBTOTAL_SECTION">#REF!</definedName>
    <definedName name="CFG_SUBTOTAL_SW" localSheetId="0">#REF!</definedName>
    <definedName name="CFG_SUBTOTAL_SW">#REF!</definedName>
    <definedName name="CFG_TITLE_FLD_CFG_NAME" localSheetId="0">#REF!</definedName>
    <definedName name="CFG_TITLE_FLD_CFG_NAME">#REF!</definedName>
    <definedName name="CFG_TITLE_SECTION" localSheetId="0">#REF!</definedName>
    <definedName name="CFG_TITLE_SECTION">#REF!</definedName>
    <definedName name="consulgin" localSheetId="0" hidden="1">{"'Price List '!$A$1:$R$156"}</definedName>
    <definedName name="consulgin" hidden="1">{"'Price List '!$A$1:$R$156"}</definedName>
    <definedName name="CSI_FLD_CSI_DESCRIPTION" localSheetId="0">#REF!</definedName>
    <definedName name="CSI_FLD_CSI_DESCRIPTION">#REF!</definedName>
    <definedName name="CSI_FLD_CSI_NAME" localSheetId="0">#REF!</definedName>
    <definedName name="CSI_FLD_CSI_NAME">#REF!</definedName>
    <definedName name="CSI_FLD_CSI_SERIAL_NUMBER" localSheetId="0">#REF!</definedName>
    <definedName name="CSI_FLD_CSI_SERIAL_NUMBER">#REF!</definedName>
    <definedName name="CSI_LABEL_FORCOPY_SERIAL_NUMBER" localSheetId="0">#REF!</definedName>
    <definedName name="CSI_LABEL_FORCOPY_SERIAL_NUMBER">#REF!</definedName>
    <definedName name="CSI_LABEL_HEADERS" localSheetId="0">#REF!</definedName>
    <definedName name="CSI_LABEL_HEADERS">#REF!</definedName>
    <definedName name="CSI_LINE_HW" localSheetId="0">#REF!</definedName>
    <definedName name="CSI_LINE_HW">#REF!</definedName>
    <definedName name="CSI_LINE_MW" localSheetId="0">#REF!</definedName>
    <definedName name="CSI_LINE_MW">#REF!</definedName>
    <definedName name="CSI_LINE_PS" localSheetId="0">#REF!</definedName>
    <definedName name="CSI_LINE_PS">#REF!</definedName>
    <definedName name="CSI_LINE_SW" localSheetId="0">#REF!</definedName>
    <definedName name="CSI_LINE_SW">#REF!</definedName>
    <definedName name="CSI_SECTION_HW_ALL" localSheetId="0">#REF!</definedName>
    <definedName name="CSI_SECTION_HW_ALL">#REF!</definedName>
    <definedName name="CSI_SECTION_HW_BOT" localSheetId="0">#REF!</definedName>
    <definedName name="CSI_SECTION_HW_BOT">#REF!</definedName>
    <definedName name="CSI_SECTION_HW_TOP" localSheetId="0">#REF!</definedName>
    <definedName name="CSI_SECTION_HW_TOP">#REF!</definedName>
    <definedName name="CSI_SECTION_MW_ALL" localSheetId="0">#REF!</definedName>
    <definedName name="CSI_SECTION_MW_ALL">#REF!</definedName>
    <definedName name="CSI_SECTION_MW_BOT" localSheetId="0">#REF!</definedName>
    <definedName name="CSI_SECTION_MW_BOT">#REF!</definedName>
    <definedName name="CSI_SECTION_MW_TOP" localSheetId="0">#REF!</definedName>
    <definedName name="CSI_SECTION_MW_TOP">#REF!</definedName>
    <definedName name="CSI_SECTION_PS_ALL" localSheetId="0">#REF!</definedName>
    <definedName name="CSI_SECTION_PS_ALL">#REF!</definedName>
    <definedName name="CSI_SECTION_PS_BOT" localSheetId="0">#REF!</definedName>
    <definedName name="CSI_SECTION_PS_BOT">#REF!</definedName>
    <definedName name="CSI_SECTION_PS_TOP" localSheetId="0">#REF!</definedName>
    <definedName name="CSI_SECTION_PS_TOP">#REF!</definedName>
    <definedName name="CSI_SECTION_SW_ALL" localSheetId="0">#REF!</definedName>
    <definedName name="CSI_SECTION_SW_ALL">#REF!</definedName>
    <definedName name="CSI_SECTION_SW_BOT" localSheetId="0">#REF!</definedName>
    <definedName name="CSI_SECTION_SW_BOT">#REF!</definedName>
    <definedName name="CSI_SECTION_SW_TOP" localSheetId="0">#REF!</definedName>
    <definedName name="CSI_SECTION_SW_TOP">#REF!</definedName>
    <definedName name="CSI_SECTION_TITLE" localSheetId="0">#REF!</definedName>
    <definedName name="CSI_SECTION_TITLE">#REF!</definedName>
    <definedName name="CSI_SUBTOTAL_HW" localSheetId="0">#REF!</definedName>
    <definedName name="CSI_SUBTOTAL_HW">#REF!</definedName>
    <definedName name="CSI_SUBTOTAL_MW" localSheetId="0">#REF!</definedName>
    <definedName name="CSI_SUBTOTAL_MW">#REF!</definedName>
    <definedName name="CSI_SUBTOTAL_PS" localSheetId="0">#REF!</definedName>
    <definedName name="CSI_SUBTOTAL_PS">#REF!</definedName>
    <definedName name="CSI_SUBTOTAL_SW" localSheetId="0">#REF!</definedName>
    <definedName name="CSI_SUBTOTAL_SW">#REF!</definedName>
    <definedName name="CurrBase" localSheetId="0">#REF!</definedName>
    <definedName name="CurrBase">#REF!</definedName>
    <definedName name="EMC_ADDRESS" localSheetId="0">#REF!</definedName>
    <definedName name="EMC_ADDRESS">#REF!</definedName>
    <definedName name="EMC_BM_TABLE_HEADER" localSheetId="0">#REF!</definedName>
    <definedName name="EMC_BM_TABLE_HEADER">#REF!</definedName>
    <definedName name="EMC_BUSINESS_MONITORING" localSheetId="0">#REF!</definedName>
    <definedName name="EMC_BUSINESS_MONITORING">#REF!</definedName>
    <definedName name="EMC_NO_RULES_BROKEN" localSheetId="0">#REF!</definedName>
    <definedName name="EMC_NO_RULES_BROKEN">#REF!</definedName>
    <definedName name="FJD" localSheetId="0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LOOR_ANALYSIS_LINES_TO_FORMAT0" localSheetId="0">#REF!</definedName>
    <definedName name="FLOOR_ANALYSIS_LINES_TO_FORMAT0">#REF!</definedName>
    <definedName name="FLOOR_ANALYSIS_LINES_TO_FORMAT1" localSheetId="0">#REF!</definedName>
    <definedName name="FLOOR_ANALYSIS_LINES_TO_FORMAT1">#REF!</definedName>
    <definedName name="FLOOR_ANALYSIS_SECTION" localSheetId="0">#REF!</definedName>
    <definedName name="FLOOR_ANALYSIS_SECTION">#REF!</definedName>
    <definedName name="FX_RATE" localSheetId="0">#REF!</definedName>
    <definedName name="FX_RATE">#REF!</definedName>
    <definedName name="GSA_HEADER_FIELDS" localSheetId="0">#REF!</definedName>
    <definedName name="GSA_HEADER_FIELDS">#REF!</definedName>
    <definedName name="HTML_CodePage" hidden="1">1252</definedName>
    <definedName name="HTML_Control" localSheetId="0" hidden="1">{"'Price List '!$A$1:$R$156"}</definedName>
    <definedName name="HTML_Control" hidden="1">{"'Price List '!$A$1:$R$156"}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"C:\Temp\infoprice\051900\MyHTML.htm"</definedName>
    <definedName name="HTML_Title" hidden="1">"ePL5_19b"</definedName>
    <definedName name="HTML1_1" hidden="1">"'[디자인MXE1.xls]마북OCTANE (2)'!$A$1:$G$33"</definedName>
    <definedName name="HTML1_10" hidden="1">""</definedName>
    <definedName name="HTML1_11" hidden="1">1</definedName>
    <definedName name="HTML1_12" hidden="1">"C:\견적\현대정공\MyHTML.htm"</definedName>
    <definedName name="HTML1_2" hidden="1">1</definedName>
    <definedName name="HTML1_3" hidden="1">"디자인MXE1.xl"</definedName>
    <definedName name="HTML1_4" hidden="1">"마북OCTANE (2)"</definedName>
    <definedName name="HTML1_5" hidden="1">""</definedName>
    <definedName name="HTML1_6" hidden="1">-4146</definedName>
    <definedName name="HTML1_7" hidden="1">-4146</definedName>
    <definedName name="HTML1_8" hidden="1">"98-03-30"</definedName>
    <definedName name="HTML1_9" hidden="1">"임양택"</definedName>
    <definedName name="HTMLCount" hidden="1">1</definedName>
    <definedName name="INSTALL_AT_ADDRESS" localSheetId="0">#REF!</definedName>
    <definedName name="INSTALL_AT_ADDRESS">#REF!</definedName>
    <definedName name="INSTALL_AT_CONTACT" localSheetId="0">#REF!</definedName>
    <definedName name="INSTALL_AT_CONTACT">#REF!</definedName>
    <definedName name="INSTALL_AT_LABEL" localSheetId="0">#REF!</definedName>
    <definedName name="INSTALL_AT_LABEL">#REF!</definedName>
    <definedName name="INSTALL_AT_NAME" localSheetId="0">#REF!</definedName>
    <definedName name="INSTALL_AT_NAME">#REF!</definedName>
    <definedName name="INSTALL_AT_PHONE" localSheetId="0">#REF!</definedName>
    <definedName name="INSTALL_AT_PHONE">#REF!</definedName>
    <definedName name="KIM" localSheetId="0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MISC_FLD_TITLE" localSheetId="0">#REF!</definedName>
    <definedName name="MISC_FLD_TITLE">#REF!</definedName>
    <definedName name="MISC_LINE_HW" localSheetId="0">#REF!</definedName>
    <definedName name="MISC_LINE_HW">#REF!</definedName>
    <definedName name="MISC_LINE_PS" localSheetId="0">#REF!</definedName>
    <definedName name="MISC_LINE_PS">#REF!</definedName>
    <definedName name="MISC_LINE_SW" localSheetId="0">#REF!</definedName>
    <definedName name="MISC_LINE_SW">#REF!</definedName>
    <definedName name="MISC_SECTION_HW_ALL" localSheetId="0">#REF!</definedName>
    <definedName name="MISC_SECTION_HW_ALL">#REF!</definedName>
    <definedName name="MISC_SECTION_HW_BOT" localSheetId="0">#REF!</definedName>
    <definedName name="MISC_SECTION_HW_BOT">#REF!</definedName>
    <definedName name="MISC_SECTION_HW_TOP" localSheetId="0">#REF!</definedName>
    <definedName name="MISC_SECTION_HW_TOP">#REF!</definedName>
    <definedName name="MISC_SECTION_PS_ALL" localSheetId="0">#REF!</definedName>
    <definedName name="MISC_SECTION_PS_ALL">#REF!</definedName>
    <definedName name="MISC_SECTION_PS_BOT" localSheetId="0">#REF!</definedName>
    <definedName name="MISC_SECTION_PS_BOT">#REF!</definedName>
    <definedName name="MISC_SECTION_PS_TOP" localSheetId="0">#REF!</definedName>
    <definedName name="MISC_SECTION_PS_TOP">#REF!</definedName>
    <definedName name="MISC_SECTION_SW_ALL" localSheetId="0">#REF!</definedName>
    <definedName name="MISC_SECTION_SW_ALL">#REF!</definedName>
    <definedName name="MISC_SECTION_SW_BOT" localSheetId="0">#REF!</definedName>
    <definedName name="MISC_SECTION_SW_BOT">#REF!</definedName>
    <definedName name="MISC_SECTION_SW_TOP" localSheetId="0">#REF!</definedName>
    <definedName name="MISC_SECTION_SW_TOP">#REF!</definedName>
    <definedName name="MISC_SECTION_TITLE" localSheetId="0">#REF!</definedName>
    <definedName name="MISC_SECTION_TITLE">#REF!</definedName>
    <definedName name="MISC_SUBTOTAL_HW" localSheetId="0">#REF!</definedName>
    <definedName name="MISC_SUBTOTAL_HW">#REF!</definedName>
    <definedName name="MISC_SUBTOTAL_PS" localSheetId="0">#REF!</definedName>
    <definedName name="MISC_SUBTOTAL_PS">#REF!</definedName>
    <definedName name="MISC_SUBTOTAL_SW" localSheetId="0">#REF!</definedName>
    <definedName name="MISC_SUBTOTAL_SW">#REF!</definedName>
    <definedName name="NOTES_ZONE_0" localSheetId="0">#REF!</definedName>
    <definedName name="NOTES_ZONE_0">#REF!</definedName>
    <definedName name="NOTES_ZONE_1" localSheetId="0">#REF!</definedName>
    <definedName name="NOTES_ZONE_1">#REF!</definedName>
    <definedName name="NOTES_ZONE_2" localSheetId="0">#REF!</definedName>
    <definedName name="NOTES_ZONE_2">#REF!</definedName>
    <definedName name="OPPTY_SECTION" localSheetId="0">#REF!</definedName>
    <definedName name="OPPTY_SECTION">#REF!</definedName>
    <definedName name="PRECONTRACT_FLD_CFG_NAME" localSheetId="0">#REF!</definedName>
    <definedName name="PRECONTRACT_FLD_CFG_NAME">#REF!</definedName>
    <definedName name="PRECONTRACT_FLD_CSI_DESCIPTION" localSheetId="0">#REF!</definedName>
    <definedName name="PRECONTRACT_FLD_CSI_DESCIPTION">#REF!</definedName>
    <definedName name="PRECONTRACT_FLD_CSI_NAME" localSheetId="0">#REF!</definedName>
    <definedName name="PRECONTRACT_FLD_CSI_NAME">#REF!</definedName>
    <definedName name="PRECONTRACT_LINE" localSheetId="0">#REF!</definedName>
    <definedName name="PRECONTRACT_LINE">#REF!</definedName>
    <definedName name="PRECONTRACT_SECTION" localSheetId="0">#REF!</definedName>
    <definedName name="PRECONTRACT_SECTION">#REF!</definedName>
    <definedName name="PRECONTRACT_SECTION_CFG_TITLE" localSheetId="0">#REF!</definedName>
    <definedName name="PRECONTRACT_SECTION_CFG_TITLE">#REF!</definedName>
    <definedName name="PRECONTRACT_SECTION_CSI" localSheetId="0">#REF!</definedName>
    <definedName name="PRECONTRACT_SECTION_CSI">#REF!</definedName>
    <definedName name="PRICE_JUST_COMMENT" localSheetId="0">#REF!</definedName>
    <definedName name="PRICE_JUST_COMMENT">#REF!</definedName>
    <definedName name="_xlnm.Print_Area" localSheetId="1">'1. 투입공수'!$A$1:$U$12</definedName>
    <definedName name="_xlnm.Print_Area" localSheetId="2">'2. 공수산정근거'!$A$1:$G$36</definedName>
    <definedName name="_xlnm.Print_Area" localSheetId="3">'3. 개발일정'!$A$1:$N$18</definedName>
    <definedName name="_xlnm.Print_Area" localSheetId="0">견적!$A$1:$L$59</definedName>
    <definedName name="_xlnm.Print_Titles" localSheetId="0">견적!$15:$16</definedName>
    <definedName name="PROMO_SECTION" localSheetId="0">#REF!</definedName>
    <definedName name="PROMO_SECTION">#REF!</definedName>
    <definedName name="PROPOSAL_SECTION" localSheetId="0">#REF!</definedName>
    <definedName name="PROPOSAL_SECTION">#REF!</definedName>
    <definedName name="PROPOSAL_SECTION_MW" localSheetId="0">#REF!</definedName>
    <definedName name="PROPOSAL_SECTION_MW">#REF!</definedName>
    <definedName name="PROPOSAL_SUBTOTAL_HW" localSheetId="0">#REF!</definedName>
    <definedName name="PROPOSAL_SUBTOTAL_HW">#REF!</definedName>
    <definedName name="PROPOSAL_SUBTOTAL_MW_HW" localSheetId="0">#REF!</definedName>
    <definedName name="PROPOSAL_SUBTOTAL_MW_HW">#REF!</definedName>
    <definedName name="PROPOSAL_SUBTOTAL_MW_SW" localSheetId="0">#REF!</definedName>
    <definedName name="PROPOSAL_SUBTOTAL_MW_SW">#REF!</definedName>
    <definedName name="PROPOSAL_SUBTOTAL_MW_WAR" localSheetId="0">#REF!</definedName>
    <definedName name="PROPOSAL_SUBTOTAL_MW_WAR">#REF!</definedName>
    <definedName name="PROPOSAL_SUBTOTAL_PS" localSheetId="0">#REF!</definedName>
    <definedName name="PROPOSAL_SUBTOTAL_PS">#REF!</definedName>
    <definedName name="PROPOSAL_SUBTOTAL_SW" localSheetId="0">#REF!</definedName>
    <definedName name="PROPOSAL_SUBTOTAL_SW">#REF!</definedName>
    <definedName name="QQ" localSheetId="0" hidden="1">{#N/A,#N/A,FALSE,"단축1";#N/A,#N/A,FALSE,"단축2";#N/A,#N/A,FALSE,"단축3";#N/A,#N/A,FALSE,"장축";#N/A,#N/A,FALSE,"4WD"}</definedName>
    <definedName name="QQ" hidden="1">{#N/A,#N/A,FALSE,"단축1";#N/A,#N/A,FALSE,"단축2";#N/A,#N/A,FALSE,"단축3";#N/A,#N/A,FALSE,"장축";#N/A,#N/A,FALSE,"4WD"}</definedName>
    <definedName name="QUOTE_PRICEBREAK" localSheetId="0">#REF!</definedName>
    <definedName name="QUOTE_PRICEBREAK">#REF!</definedName>
    <definedName name="QUOTE_PS_PRICEBREAK" localSheetId="0">#REF!</definedName>
    <definedName name="QUOTE_PS_PRICEBREAK">#REF!</definedName>
    <definedName name="REDIRECT_SECTION" localSheetId="0">#REF!</definedName>
    <definedName name="REDIRECT_SECTION">#REF!</definedName>
    <definedName name="REPORT_LINES_TO_FORMAT" localSheetId="0">#REF!,#REF!</definedName>
    <definedName name="REPORT_LINES_TO_FORMAT">#REF!,#REF!</definedName>
    <definedName name="REPORT_LINES_TO_FORMAT0" localSheetId="0">#REF!</definedName>
    <definedName name="REPORT_LINES_TO_FORMAT0">#REF!</definedName>
    <definedName name="REPORT_LINES_TO_FORMAT1" localSheetId="0">#REF!</definedName>
    <definedName name="REPORT_LINES_TO_FORMAT1">#REF!</definedName>
    <definedName name="REPORT_LINES_TO_FORMAT2" localSheetId="0">#REF!</definedName>
    <definedName name="REPORT_LINES_TO_FORMAT2">#REF!</definedName>
    <definedName name="REPORT_TOTALS_TO_FORMAT" localSheetId="0">#REF!,#REF!,#REF!</definedName>
    <definedName name="REPORT_TOTALS_TO_FORMAT">#REF!,#REF!,#REF!</definedName>
    <definedName name="REPORT_TOTALS_TO_FORMAT0" localSheetId="0">#REF!</definedName>
    <definedName name="REPORT_TOTALS_TO_FORMAT0">#REF!</definedName>
    <definedName name="REPORT_TOTALS_TO_FORMAT1" localSheetId="0">#REF!</definedName>
    <definedName name="REPORT_TOTALS_TO_FORMAT1">#REF!</definedName>
    <definedName name="REPORT_TOTALS_TO_FORMAT2" localSheetId="0">#REF!</definedName>
    <definedName name="REPORT_TOTALS_TO_FORMAT2">#REF!</definedName>
    <definedName name="REPORT_TOTALS_TO_FORMAT3" localSheetId="0">#REF!</definedName>
    <definedName name="REPORT_TOTALS_TO_FORMAT3">#REF!</definedName>
    <definedName name="REPORT_TOTALS_TO_FORMAT4" localSheetId="0">#REF!</definedName>
    <definedName name="REPORT_TOTALS_TO_FORMAT4">#REF!</definedName>
    <definedName name="REPORT_TOTALS_TO_FORMAT5" localSheetId="0">#REF!</definedName>
    <definedName name="REPORT_TOTALS_TO_FORMAT5">#REF!</definedName>
    <definedName name="SAP" localSheetId="0" hidden="1">{"'Price List '!$A$1:$R$156"}</definedName>
    <definedName name="SAP" hidden="1">{"'Price List '!$A$1:$R$156"}</definedName>
    <definedName name="SHIP_TO_ADDRESS" localSheetId="0">#REF!</definedName>
    <definedName name="SHIP_TO_ADDRESS">#REF!</definedName>
    <definedName name="SHIP_TO_CONTACT" localSheetId="0">#REF!</definedName>
    <definedName name="SHIP_TO_CONTACT">#REF!</definedName>
    <definedName name="SHIP_TO_LABEL" localSheetId="0">#REF!</definedName>
    <definedName name="SHIP_TO_LABEL">#REF!</definedName>
    <definedName name="SHIP_TO_NAME" localSheetId="0">#REF!</definedName>
    <definedName name="SHIP_TO_NAME">#REF!</definedName>
    <definedName name="SHIP_TO_PHONE" localSheetId="0">#REF!</definedName>
    <definedName name="SHIP_TO_PHONE">#REF!</definedName>
    <definedName name="SHIPPING_ZONE_0" localSheetId="0">#REF!</definedName>
    <definedName name="SHIPPING_ZONE_0">#REF!</definedName>
    <definedName name="SHIPPING_ZONE_1" localSheetId="0">#REF!</definedName>
    <definedName name="SHIPPING_ZONE_1">#REF!</definedName>
    <definedName name="SHIPPING_ZONE_2" localSheetId="0">#REF!</definedName>
    <definedName name="SHIPPING_ZONE_2">#REF!</definedName>
    <definedName name="SOLD_TO_ADDRESS" localSheetId="0">#REF!</definedName>
    <definedName name="SOLD_TO_ADDRESS">#REF!</definedName>
    <definedName name="SOLD_TO_CONTACT" localSheetId="0">#REF!</definedName>
    <definedName name="SOLD_TO_CONTACT">#REF!</definedName>
    <definedName name="SOLD_TO_LABEL" localSheetId="0">#REF!</definedName>
    <definedName name="SOLD_TO_LABEL">#REF!</definedName>
    <definedName name="SOLD_TO_NAME" localSheetId="0">#REF!</definedName>
    <definedName name="SOLD_TO_NAME">#REF!</definedName>
    <definedName name="SOLD_TO_PHONE" localSheetId="0">#REF!</definedName>
    <definedName name="SOLD_TO_PHONE">#REF!</definedName>
    <definedName name="TRADEIN_SECTION" localSheetId="0">#REF!</definedName>
    <definedName name="TRADEIN_SECTION">#REF!</definedName>
    <definedName name="TRADEIN_SECTION_TOTAL" localSheetId="0">#REF!</definedName>
    <definedName name="TRADEIN_SECTION_TOTAL">#REF!</definedName>
    <definedName name="TT" localSheetId="0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wrn.EM.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su." localSheetId="0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선사." localSheetId="0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직좌.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0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견" localSheetId="0" hidden="1">{"'Price List '!$A$1:$R$156"}</definedName>
    <definedName name="견" hidden="1">{"'Price List '!$A$1:$R$156"}</definedName>
    <definedName name="근거2" localSheetId="0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형" localSheetId="0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0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단조편성표" localSheetId="0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대방총괄" localSheetId="0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ㅁ" hidden="1">#REF!</definedName>
    <definedName name="ㅁㄴㅇ" localSheetId="0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생산" localSheetId="0" hidden="1">{#N/A,#N/A,FALSE,"단축1";#N/A,#N/A,FALSE,"단축2";#N/A,#N/A,FALSE,"단축3";#N/A,#N/A,FALSE,"장축";#N/A,#N/A,FALSE,"4WD"}</definedName>
    <definedName name="생산" hidden="1">{#N/A,#N/A,FALSE,"단축1";#N/A,#N/A,FALSE,"단축2";#N/A,#N/A,FALSE,"단축3";#N/A,#N/A,FALSE,"장축";#N/A,#N/A,FALSE,"4WD"}</definedName>
    <definedName name="세부일정" localSheetId="0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0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셀리카" hidden="1">#REF!</definedName>
    <definedName name="수익4속" localSheetId="0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출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열처리" localSheetId="0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전차종" localSheetId="0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조립" localSheetId="0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카메라" localSheetId="0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통" localSheetId="0" hidden="1">{"'Price List '!$A$1:$R$156"}</definedName>
    <definedName name="통" hidden="1">{"'Price List '!$A$1:$R$156"}</definedName>
    <definedName name="투입공수" localSheetId="0" hidden="1">{"'Price List '!$A$1:$R$156"}</definedName>
    <definedName name="투입공수" hidden="1">{"'Price List '!$A$1:$R$156"}</definedName>
    <definedName name="투자CONC.182억" localSheetId="0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비교" localSheetId="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9" l="1"/>
  <c r="G17" i="19"/>
  <c r="E17" i="19"/>
  <c r="C7" i="12"/>
  <c r="D17" i="19" l="1"/>
  <c r="C17" i="19"/>
  <c r="B17" i="19"/>
  <c r="F18" i="19"/>
  <c r="H18" i="19"/>
  <c r="I18" i="19"/>
  <c r="F29" i="19"/>
  <c r="G29" i="19"/>
  <c r="I29" i="19"/>
  <c r="F30" i="19"/>
  <c r="G30" i="19"/>
  <c r="I30" i="19"/>
  <c r="F31" i="19"/>
  <c r="G31" i="19"/>
  <c r="I31" i="19" s="1"/>
  <c r="F32" i="19"/>
  <c r="G32" i="19" s="1"/>
  <c r="I32" i="19" s="1"/>
  <c r="F33" i="19"/>
  <c r="G33" i="19"/>
  <c r="I33" i="19"/>
  <c r="F34" i="19"/>
  <c r="G34" i="19" s="1"/>
  <c r="F35" i="19"/>
  <c r="G35" i="19"/>
  <c r="I35" i="19"/>
  <c r="F36" i="19"/>
  <c r="G36" i="19"/>
  <c r="I36" i="19"/>
  <c r="F37" i="19"/>
  <c r="G37" i="19"/>
  <c r="I37" i="19"/>
  <c r="F38" i="19"/>
  <c r="G38" i="19"/>
  <c r="I38" i="19"/>
  <c r="F39" i="19"/>
  <c r="G39" i="19"/>
  <c r="F40" i="19"/>
  <c r="G40" i="19"/>
  <c r="I40" i="19"/>
  <c r="F41" i="19"/>
  <c r="G41" i="19"/>
  <c r="I41" i="19"/>
  <c r="F42" i="19"/>
  <c r="G42" i="19"/>
  <c r="I42" i="19"/>
  <c r="F43" i="19"/>
  <c r="I43" i="19" s="1"/>
  <c r="G43" i="19"/>
  <c r="F44" i="19"/>
  <c r="G44" i="19"/>
  <c r="I44" i="19"/>
  <c r="F45" i="19"/>
  <c r="G45" i="19"/>
  <c r="I45" i="19"/>
  <c r="B10" i="12"/>
  <c r="I39" i="19" l="1"/>
  <c r="I34" i="19"/>
  <c r="S8" i="12"/>
  <c r="R8" i="12"/>
  <c r="Q8" i="12"/>
  <c r="P8" i="12"/>
  <c r="G18" i="19" l="1"/>
  <c r="J17" i="19"/>
  <c r="T7" i="12"/>
  <c r="G29" i="17"/>
  <c r="G30" i="17"/>
  <c r="G18" i="17"/>
  <c r="G17" i="17"/>
  <c r="G16" i="17"/>
  <c r="G28" i="17"/>
  <c r="G27" i="17"/>
  <c r="G26" i="17"/>
  <c r="G25" i="17"/>
  <c r="G24" i="17"/>
  <c r="G23" i="17"/>
  <c r="G22" i="17"/>
  <c r="G21" i="17"/>
  <c r="G20" i="17"/>
  <c r="G19" i="17"/>
  <c r="G5" i="17"/>
  <c r="G4" i="17"/>
  <c r="G15" i="17"/>
  <c r="G14" i="17"/>
  <c r="G13" i="17"/>
  <c r="G12" i="17"/>
  <c r="G11" i="17"/>
  <c r="G10" i="17"/>
  <c r="G9" i="17"/>
  <c r="G8" i="17"/>
  <c r="I8" i="12"/>
  <c r="J8" i="12"/>
  <c r="K8" i="12"/>
  <c r="L8" i="12"/>
  <c r="M8" i="12"/>
  <c r="N8" i="12"/>
  <c r="O8" i="12"/>
  <c r="J18" i="19" l="1"/>
  <c r="K17" i="19"/>
  <c r="K18" i="19" s="1"/>
  <c r="H22" i="19" l="1"/>
  <c r="I25" i="19" s="1"/>
  <c r="D13" i="19" s="1"/>
  <c r="C8" i="19" s="1"/>
  <c r="E31" i="17"/>
  <c r="H8" i="12" l="1"/>
  <c r="T8" i="12" s="1"/>
  <c r="G7" i="17" l="1"/>
  <c r="G6" i="17"/>
  <c r="G31" i="17" l="1"/>
  <c r="B33" i="17" s="1"/>
</calcChain>
</file>

<file path=xl/sharedStrings.xml><?xml version="1.0" encoding="utf-8"?>
<sst xmlns="http://schemas.openxmlformats.org/spreadsheetml/2006/main" count="180" uniqueCount="155">
  <si>
    <t>구분</t>
    <phoneticPr fontId="10" type="noConversion"/>
  </si>
  <si>
    <t xml:space="preserve">견   적   서 </t>
  </si>
  <si>
    <t>아래와 같이 견적합니다.</t>
  </si>
  <si>
    <t xml:space="preserve">견 적 금 액 (VAT 별도)  : </t>
  </si>
  <si>
    <t>(단위: 원)</t>
    <phoneticPr fontId="10" type="noConversion"/>
  </si>
  <si>
    <t>내역</t>
    <phoneticPr fontId="10" type="noConversion"/>
  </si>
  <si>
    <t>공    급    가    합    계(VAT별도)</t>
    <phoneticPr fontId="10" type="noConversion"/>
  </si>
  <si>
    <t>일노임단가</t>
  </si>
  <si>
    <t>월노임단가</t>
  </si>
  <si>
    <t>제경비</t>
  </si>
  <si>
    <t>기술료</t>
  </si>
  <si>
    <t>1. IT기획자</t>
  </si>
  <si>
    <t>2. IT컨설턴트</t>
  </si>
  <si>
    <t>(주)엠제이아이티</t>
    <phoneticPr fontId="10" type="noConversion"/>
  </si>
  <si>
    <t>구분</t>
    <phoneticPr fontId="21" type="noConversion"/>
  </si>
  <si>
    <t>역할/업무</t>
    <phoneticPr fontId="10" type="noConversion"/>
  </si>
  <si>
    <t>총합
(M/M)</t>
    <phoneticPr fontId="10" type="noConversion"/>
  </si>
  <si>
    <t>합계</t>
    <phoneticPr fontId="43" type="noConversion"/>
  </si>
  <si>
    <t>월단가</t>
    <phoneticPr fontId="10" type="noConversion"/>
  </si>
  <si>
    <t>합계</t>
    <phoneticPr fontId="10" type="noConversion"/>
  </si>
  <si>
    <t>대표이사 김 미 정</t>
    <phoneticPr fontId="10" type="noConversion"/>
  </si>
  <si>
    <t>1. 본 견적은 상기 고객사에만 적용됩니다.</t>
    <phoneticPr fontId="10" type="noConversion"/>
  </si>
  <si>
    <t>비   고</t>
    <phoneticPr fontId="10" type="noConversion"/>
  </si>
  <si>
    <t>비고</t>
    <phoneticPr fontId="10" type="noConversion"/>
  </si>
  <si>
    <t>제안금액</t>
    <phoneticPr fontId="10" type="noConversion"/>
  </si>
  <si>
    <t>MM</t>
    <phoneticPr fontId="10" type="noConversion"/>
  </si>
  <si>
    <t>종 목</t>
    <phoneticPr fontId="10" type="noConversion"/>
  </si>
  <si>
    <t>담    당    자</t>
  </si>
  <si>
    <t>견적일로부터 30일</t>
    <phoneticPr fontId="10" type="noConversion"/>
  </si>
  <si>
    <t>견적유효기간</t>
  </si>
  <si>
    <t>현금</t>
  </si>
  <si>
    <t>결  제  조  건</t>
  </si>
  <si>
    <t>발주 후 4주 이내</t>
  </si>
  <si>
    <t>납           기</t>
    <phoneticPr fontId="10" type="noConversion"/>
  </si>
  <si>
    <t>견  적  일  자</t>
  </si>
  <si>
    <t>참      조</t>
  </si>
  <si>
    <t>견  적  번  호</t>
  </si>
  <si>
    <t>할인금액</t>
    <phoneticPr fontId="10" type="noConversion"/>
  </si>
  <si>
    <t>할인률</t>
    <phoneticPr fontId="10" type="noConversion"/>
  </si>
  <si>
    <t>할인</t>
    <phoneticPr fontId="10" type="noConversion"/>
  </si>
  <si>
    <t>만원단위절사</t>
    <phoneticPr fontId="10" type="noConversion"/>
  </si>
  <si>
    <t>2. 결제조건 : 고객사 지급조건에 따릅니다.</t>
    <phoneticPr fontId="10" type="noConversion"/>
  </si>
  <si>
    <r>
      <rPr>
        <sz val="24"/>
        <rFont val="Impact"/>
        <family val="2"/>
      </rPr>
      <t>MJ</t>
    </r>
    <r>
      <rPr>
        <sz val="24"/>
        <color indexed="10"/>
        <rFont val="Impact"/>
        <family val="2"/>
      </rPr>
      <t>I</t>
    </r>
    <r>
      <rPr>
        <sz val="24"/>
        <color indexed="23"/>
        <rFont val="Impact"/>
        <family val="2"/>
      </rPr>
      <t>T</t>
    </r>
    <r>
      <rPr>
        <b/>
        <sz val="9"/>
        <rFont val="맑은 고딕"/>
        <family val="3"/>
        <charset val="129"/>
      </rPr>
      <t>(주)엠제이아이티</t>
    </r>
    <phoneticPr fontId="10" type="noConversion"/>
  </si>
  <si>
    <t>경기도 성남시 중원구 사기막골로 62번길 33, 성남센터엠지식산업센터 S1207</t>
    <phoneticPr fontId="10" type="noConversion"/>
  </si>
  <si>
    <t>상세업무</t>
    <phoneticPr fontId="10" type="noConversion"/>
  </si>
  <si>
    <t>개발</t>
    <phoneticPr fontId="10" type="noConversion"/>
  </si>
  <si>
    <t>메뉴명</t>
    <phoneticPr fontId="10" type="noConversion"/>
  </si>
  <si>
    <t>추가 내용</t>
    <phoneticPr fontId="10" type="noConversion"/>
  </si>
  <si>
    <t>예상 페이지 수</t>
    <phoneticPr fontId="10" type="noConversion"/>
  </si>
  <si>
    <t>토탈</t>
    <phoneticPr fontId="10" type="noConversion"/>
  </si>
  <si>
    <t>기술 배수</t>
    <phoneticPr fontId="10" type="noConversion"/>
  </si>
  <si>
    <t>기술 적용 공수</t>
    <phoneticPr fontId="10" type="noConversion"/>
  </si>
  <si>
    <t>안정화</t>
    <phoneticPr fontId="10" type="noConversion"/>
  </si>
  <si>
    <t>구분</t>
    <phoneticPr fontId="15" type="noConversion"/>
  </si>
  <si>
    <t>1W</t>
    <phoneticPr fontId="15" type="noConversion"/>
  </si>
  <si>
    <t>2W</t>
    <phoneticPr fontId="15" type="noConversion"/>
  </si>
  <si>
    <t>3W</t>
    <phoneticPr fontId="15" type="noConversion"/>
  </si>
  <si>
    <t>4W</t>
    <phoneticPr fontId="15" type="noConversion"/>
  </si>
  <si>
    <t>주요 사항</t>
    <phoneticPr fontId="10" type="noConversion"/>
  </si>
  <si>
    <t>Kick off</t>
    <phoneticPr fontId="10" type="noConversion"/>
  </si>
  <si>
    <t>개발</t>
    <phoneticPr fontId="15" type="noConversion"/>
  </si>
  <si>
    <t>통합테스트</t>
    <phoneticPr fontId="15" type="noConversion"/>
  </si>
  <si>
    <t>등급기준 단가</t>
    <phoneticPr fontId="10" type="noConversion"/>
  </si>
  <si>
    <t>오픈</t>
    <phoneticPr fontId="10" type="noConversion"/>
  </si>
  <si>
    <t>요구사항 컴펌</t>
    <phoneticPr fontId="10" type="noConversion"/>
  </si>
  <si>
    <t>별첨1. 투입공수</t>
    <phoneticPr fontId="10" type="noConversion"/>
  </si>
  <si>
    <t>별첨2. 공수 산정 근거</t>
    <phoneticPr fontId="10" type="noConversion"/>
  </si>
  <si>
    <t>별첨3. 개발 일정</t>
    <phoneticPr fontId="10" type="noConversion"/>
  </si>
  <si>
    <t>7월</t>
    <phoneticPr fontId="10" type="noConversion"/>
  </si>
  <si>
    <t>분석/설계</t>
    <phoneticPr fontId="10" type="noConversion"/>
  </si>
  <si>
    <t>완료</t>
  </si>
  <si>
    <t>* 투입인력에 대한 투입일정은 고객사와 협의하여 변동 가능합니다.</t>
    <phoneticPr fontId="10" type="noConversion"/>
  </si>
  <si>
    <t>1주</t>
    <phoneticPr fontId="10" type="noConversion"/>
  </si>
  <si>
    <t>2주</t>
    <phoneticPr fontId="10" type="noConversion"/>
  </si>
  <si>
    <t>3주</t>
    <phoneticPr fontId="10" type="noConversion"/>
  </si>
  <si>
    <t>4주</t>
    <phoneticPr fontId="10" type="noConversion"/>
  </si>
  <si>
    <t>매뉴얼</t>
    <phoneticPr fontId="10" type="noConversion"/>
  </si>
  <si>
    <t>비수불발주관리</t>
    <phoneticPr fontId="10" type="noConversion"/>
  </si>
  <si>
    <t>시스템관리</t>
    <phoneticPr fontId="10" type="noConversion"/>
  </si>
  <si>
    <t>5월</t>
    <phoneticPr fontId="10" type="noConversion"/>
  </si>
  <si>
    <t>6월</t>
    <phoneticPr fontId="10" type="noConversion"/>
  </si>
  <si>
    <t>메인</t>
  </si>
  <si>
    <t>로그인</t>
    <phoneticPr fontId="15" type="noConversion"/>
  </si>
  <si>
    <t>메인 공지사항 팝업</t>
    <phoneticPr fontId="15" type="noConversion"/>
  </si>
  <si>
    <t>발주관리 〉  발주현황(비수불)</t>
  </si>
  <si>
    <t>입고관리 〉 입고현황/취소(비수불)</t>
  </si>
  <si>
    <t>입고관리 〉 입고현황/취소(비수불) 〉 입고문서취소(비수불)</t>
  </si>
  <si>
    <t>입고관리 〉 입고현황/취소(비수불) 〉 입고취소현황(비수불)</t>
  </si>
  <si>
    <t>발주관리 〉  발주현황(비수불) 〉 PO RELEASE(비수불)</t>
  </si>
  <si>
    <t>발주관리 〉  발주현황(비수불) 〉 PO RELEASE(비수불) 상세</t>
  </si>
  <si>
    <t>발주관리 〉  발주현황(비수불) 〉 입고등록(비수불)</t>
  </si>
  <si>
    <t>납품관리 〉 기간별납품현황(비수불)</t>
  </si>
  <si>
    <t>[업체] 비수불발주관리</t>
    <phoneticPr fontId="10" type="noConversion"/>
  </si>
  <si>
    <t>기타</t>
    <phoneticPr fontId="10" type="noConversion"/>
  </si>
  <si>
    <t>발주관리 〉 발주현황(비수불)</t>
  </si>
  <si>
    <t>시스템 〉 권한관리</t>
  </si>
  <si>
    <t>시스템 〉 메뉴관리</t>
  </si>
  <si>
    <t>시스템 〉 다국어 관리</t>
  </si>
  <si>
    <t>시스템 〉 JOB</t>
  </si>
  <si>
    <t>시스템 〉 템플릿 관리</t>
  </si>
  <si>
    <t>시스템 〉 메일 로그</t>
  </si>
  <si>
    <t>기준정보관리 〉 코드관리</t>
  </si>
  <si>
    <t>공지사항 〉 공지사항</t>
  </si>
  <si>
    <t>공지사항 〉 공지사항 상세</t>
  </si>
  <si>
    <t>공지사항 〉 공지사항 상세 〉 공지사항 메일전송</t>
  </si>
  <si>
    <t>JOB 확장</t>
    <phoneticPr fontId="10" type="noConversion"/>
  </si>
  <si>
    <t>* 기존 구성 을 그대로 이관 하는 형태로 모든 페이지의 기술 배수를 0.6로 산정.</t>
    <phoneticPr fontId="10" type="noConversion"/>
  </si>
  <si>
    <t>* 노란색 표기부분은 신규 개발 화면 으로 구분됨.</t>
    <phoneticPr fontId="10" type="noConversion"/>
  </si>
  <si>
    <t>5월</t>
    <phoneticPr fontId="15" type="noConversion"/>
  </si>
  <si>
    <t>시스템 〉 사용자관리</t>
    <phoneticPr fontId="10" type="noConversion"/>
  </si>
  <si>
    <t>ITC 기준 데이터 구성</t>
    <phoneticPr fontId="10" type="noConversion"/>
  </si>
  <si>
    <t>ITC 전용 펑션 / 프로시저 생성</t>
    <phoneticPr fontId="10" type="noConversion"/>
  </si>
  <si>
    <t>기존 KLI JOB 확장</t>
    <phoneticPr fontId="10" type="noConversion"/>
  </si>
  <si>
    <t>2026년</t>
    <phoneticPr fontId="10" type="noConversion"/>
  </si>
  <si>
    <t>MJ260206-001</t>
    <phoneticPr fontId="10" type="noConversion"/>
  </si>
  <si>
    <t>견적 금액</t>
    <phoneticPr fontId="10" type="noConversion"/>
  </si>
  <si>
    <t>견적명</t>
    <phoneticPr fontId="10" type="noConversion"/>
  </si>
  <si>
    <t>이재혁책임님(010-4754-5054)</t>
    <phoneticPr fontId="10" type="noConversion"/>
  </si>
  <si>
    <t>강석남이사(010-5644-7920)</t>
    <phoneticPr fontId="10" type="noConversion"/>
  </si>
  <si>
    <t>HL_VAN 인도 ITC 법인 확장</t>
    <phoneticPr fontId="10" type="noConversion"/>
  </si>
  <si>
    <t>소스개발</t>
    <phoneticPr fontId="10" type="noConversion"/>
  </si>
  <si>
    <t>분석/설계</t>
    <phoneticPr fontId="15" type="noConversion"/>
  </si>
  <si>
    <t>요구사항정의</t>
    <phoneticPr fontId="10" type="noConversion"/>
  </si>
  <si>
    <t>통합테스트</t>
    <phoneticPr fontId="10" type="noConversion"/>
  </si>
  <si>
    <t>TBD</t>
    <phoneticPr fontId="10" type="noConversion"/>
  </si>
  <si>
    <t>PM/AA/산출물/개발</t>
    <phoneticPr fontId="10" type="noConversion"/>
  </si>
  <si>
    <t>등급</t>
    <phoneticPr fontId="10" type="noConversion"/>
  </si>
  <si>
    <t>투입인력</t>
    <phoneticPr fontId="10" type="noConversion"/>
  </si>
  <si>
    <t>VAN ITC 시스템
개발</t>
    <phoneticPr fontId="10" type="noConversion"/>
  </si>
  <si>
    <t>고급</t>
    <phoneticPr fontId="10" type="noConversion"/>
  </si>
  <si>
    <t>학력</t>
    <phoneticPr fontId="10" type="noConversion"/>
  </si>
  <si>
    <t>경력</t>
    <phoneticPr fontId="10" type="noConversion"/>
  </si>
  <si>
    <t>-</t>
    <phoneticPr fontId="10" type="noConversion"/>
  </si>
  <si>
    <t>17. 정보보안전문가</t>
    <phoneticPr fontId="10" type="noConversion"/>
  </si>
  <si>
    <t>16. IT감리</t>
    <phoneticPr fontId="10" type="noConversion"/>
  </si>
  <si>
    <t>15. IT테스터</t>
    <phoneticPr fontId="10" type="noConversion"/>
  </si>
  <si>
    <t>14. IT품질관리자</t>
    <phoneticPr fontId="10" type="noConversion"/>
  </si>
  <si>
    <t>13. IT마케터</t>
    <phoneticPr fontId="10" type="noConversion"/>
  </si>
  <si>
    <t>12. IT지원기술자</t>
    <phoneticPr fontId="10" type="noConversion"/>
  </si>
  <si>
    <t>11. 정보시스템운용자</t>
    <phoneticPr fontId="10" type="noConversion"/>
  </si>
  <si>
    <t>10. 시스템SW개발자</t>
    <phoneticPr fontId="10" type="noConversion"/>
  </si>
  <si>
    <t>9. 응용SW개발자</t>
    <phoneticPr fontId="10" type="noConversion"/>
  </si>
  <si>
    <t>8. UI/UX디자이너</t>
    <phoneticPr fontId="10" type="noConversion"/>
  </si>
  <si>
    <t>7. UI/UX기획/개발자</t>
    <phoneticPr fontId="10" type="noConversion"/>
  </si>
  <si>
    <t>6. IT 아키덱트</t>
    <phoneticPr fontId="10" type="noConversion"/>
  </si>
  <si>
    <t>5. IT 프로젝트 관리자</t>
    <phoneticPr fontId="10" type="noConversion"/>
  </si>
  <si>
    <t>4. 데이터분석사</t>
    <phoneticPr fontId="10" type="noConversion"/>
  </si>
  <si>
    <t>3. 업무분석가</t>
    <phoneticPr fontId="10" type="noConversion"/>
  </si>
  <si>
    <t>MM단가</t>
    <phoneticPr fontId="10" type="noConversion"/>
  </si>
  <si>
    <t>2026년 SW기술자 노임단가</t>
    <phoneticPr fontId="10" type="noConversion"/>
  </si>
  <si>
    <t>개별 할인</t>
    <phoneticPr fontId="10" type="noConversion"/>
  </si>
  <si>
    <t>역할</t>
    <phoneticPr fontId="10" type="noConversion"/>
  </si>
  <si>
    <r>
      <rPr>
        <b/>
        <sz val="12"/>
        <rFont val="맑은 고딕"/>
        <family val="3"/>
        <charset val="129"/>
      </rPr>
      <t xml:space="preserve">  ㈜에이치엘클레무브</t>
    </r>
    <r>
      <rPr>
        <sz val="9"/>
        <rFont val="맑은 고딕"/>
        <family val="3"/>
        <charset val="129"/>
      </rPr>
      <t xml:space="preserve"> 귀중</t>
    </r>
    <phoneticPr fontId="10" type="noConversion"/>
  </si>
  <si>
    <t>상세업무</t>
    <phoneticPr fontId="15" type="noConversion"/>
  </si>
  <si>
    <t>등급 차액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</si>
</sst>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_-[$₩-412]* #,##0.00_-;\-[$₩-412]* #,##0.00_-;_-[$₩-412]* &quot;-&quot;??_-;_-@_-"/>
    <numFmt numFmtId="177" formatCode="&quot;₩&quot;#,##0&quot;원&quot;"/>
    <numFmt numFmtId="178" formatCode="#,##0\ &quot;원&quot;"/>
    <numFmt numFmtId="179" formatCode="0.00_);[Red]\(0.00\)"/>
    <numFmt numFmtId="180" formatCode="0_);[Red]\(0\)"/>
    <numFmt numFmtId="181" formatCode="0.0"/>
    <numFmt numFmtId="182" formatCode="mm&quot;월&quot;\ dd&quot;일&quot;"/>
    <numFmt numFmtId="183" formatCode="#,##0_ "/>
    <numFmt numFmtId="184" formatCode="0.00_ "/>
    <numFmt numFmtId="185" formatCode="0.0%"/>
  </numFmts>
  <fonts count="6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name val="굴림"/>
      <family val="3"/>
      <charset val="129"/>
    </font>
    <font>
      <sz val="12"/>
      <color indexed="8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u/>
      <sz val="11"/>
      <name val="맑은 고딕"/>
      <family val="3"/>
      <charset val="129"/>
    </font>
    <font>
      <sz val="8"/>
      <name val="맑은 고딕"/>
      <family val="3"/>
      <charset val="129"/>
    </font>
    <font>
      <sz val="7.5"/>
      <name val="맑은 고딕"/>
      <family val="3"/>
      <charset val="129"/>
    </font>
    <font>
      <b/>
      <u/>
      <sz val="9"/>
      <name val="맑은 고딕"/>
      <family val="3"/>
      <charset val="129"/>
    </font>
    <font>
      <u/>
      <sz val="9"/>
      <name val="맑은 고딕"/>
      <family val="3"/>
      <charset val="129"/>
    </font>
    <font>
      <sz val="9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b/>
      <sz val="12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HY헤드라인M"/>
      <family val="1"/>
      <charset val="129"/>
    </font>
    <font>
      <sz val="9"/>
      <name val="HY헤드라인M"/>
      <family val="1"/>
      <charset val="129"/>
    </font>
    <font>
      <sz val="10"/>
      <name val="Tahoma"/>
      <family val="2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Helv"/>
      <family val="2"/>
    </font>
    <font>
      <sz val="9"/>
      <name val="돋움체"/>
      <family val="3"/>
      <charset val="129"/>
    </font>
    <font>
      <sz val="8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Tahoma"/>
      <family val="2"/>
    </font>
    <font>
      <sz val="9"/>
      <name val="굴림"/>
      <family val="3"/>
      <charset val="129"/>
    </font>
    <font>
      <sz val="10"/>
      <name val="Arial"/>
      <family val="2"/>
    </font>
    <font>
      <sz val="1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b/>
      <i/>
      <sz val="12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Tahoma"/>
      <family val="2"/>
    </font>
    <font>
      <b/>
      <sz val="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name val="맑은 고딕"/>
      <family val="3"/>
      <charset val="129"/>
    </font>
    <font>
      <b/>
      <sz val="24"/>
      <name val="맑은 고딕"/>
      <family val="2"/>
      <charset val="129"/>
    </font>
    <font>
      <sz val="24"/>
      <name val="Impact"/>
      <family val="2"/>
    </font>
    <font>
      <sz val="24"/>
      <color indexed="10"/>
      <name val="Impact"/>
      <family val="2"/>
    </font>
    <font>
      <sz val="24"/>
      <color indexed="23"/>
      <name val="Impact"/>
      <family val="2"/>
    </font>
    <font>
      <b/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Dashed">
        <color indexed="64"/>
      </left>
      <right/>
      <top style="thin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4">
    <xf numFmtId="0" fontId="0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" fillId="0" borderId="0"/>
    <xf numFmtId="41" fontId="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2" fillId="0" borderId="0">
      <alignment vertical="center"/>
    </xf>
    <xf numFmtId="0" fontId="35" fillId="0" borderId="0"/>
    <xf numFmtId="0" fontId="46" fillId="0" borderId="0"/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83">
    <xf numFmtId="0" fontId="0" fillId="0" borderId="0" xfId="0">
      <alignment vertical="center"/>
    </xf>
    <xf numFmtId="0" fontId="13" fillId="0" borderId="0" xfId="25" applyFont="1">
      <alignment vertical="center"/>
    </xf>
    <xf numFmtId="0" fontId="11" fillId="0" borderId="0" xfId="15" applyFont="1" applyAlignment="1">
      <alignment vertical="center"/>
    </xf>
    <xf numFmtId="0" fontId="21" fillId="5" borderId="2" xfId="15" applyFont="1" applyFill="1" applyBorder="1" applyAlignment="1">
      <alignment vertical="center"/>
    </xf>
    <xf numFmtId="49" fontId="20" fillId="0" borderId="2" xfId="15" applyNumberFormat="1" applyFont="1" applyBorder="1" applyAlignment="1">
      <alignment horizontal="center" vertical="center" wrapText="1"/>
    </xf>
    <xf numFmtId="0" fontId="22" fillId="5" borderId="0" xfId="15" applyFont="1" applyFill="1" applyAlignment="1">
      <alignment vertical="center"/>
    </xf>
    <xf numFmtId="49" fontId="20" fillId="0" borderId="0" xfId="15" applyNumberFormat="1" applyFont="1" applyAlignment="1">
      <alignment horizontal="center" vertical="center" wrapText="1"/>
    </xf>
    <xf numFmtId="49" fontId="23" fillId="0" borderId="0" xfId="15" applyNumberFormat="1" applyFont="1" applyAlignment="1">
      <alignment horizontal="center" vertical="center" wrapText="1"/>
    </xf>
    <xf numFmtId="49" fontId="24" fillId="0" borderId="0" xfId="15" applyNumberFormat="1" applyFont="1" applyAlignment="1">
      <alignment horizontal="center" vertical="center" wrapText="1"/>
    </xf>
    <xf numFmtId="0" fontId="25" fillId="0" borderId="0" xfId="15" applyFont="1" applyAlignment="1">
      <alignment vertical="center"/>
    </xf>
    <xf numFmtId="0" fontId="27" fillId="0" borderId="0" xfId="15" applyFont="1" applyAlignment="1">
      <alignment horizontal="left" vertical="center"/>
    </xf>
    <xf numFmtId="0" fontId="28" fillId="0" borderId="0" xfId="15" applyFont="1" applyAlignment="1">
      <alignment horizontal="center" vertical="center"/>
    </xf>
    <xf numFmtId="0" fontId="29" fillId="0" borderId="0" xfId="15" applyFont="1" applyAlignment="1">
      <alignment vertical="center" wrapText="1"/>
    </xf>
    <xf numFmtId="0" fontId="28" fillId="0" borderId="0" xfId="15" applyFont="1" applyAlignment="1">
      <alignment vertical="center"/>
    </xf>
    <xf numFmtId="0" fontId="29" fillId="5" borderId="11" xfId="15" applyFont="1" applyFill="1" applyBorder="1" applyAlignment="1">
      <alignment vertical="center"/>
    </xf>
    <xf numFmtId="177" fontId="29" fillId="5" borderId="11" xfId="15" applyNumberFormat="1" applyFont="1" applyFill="1" applyBorder="1" applyAlignment="1">
      <alignment horizontal="center" vertical="center"/>
    </xf>
    <xf numFmtId="178" fontId="29" fillId="0" borderId="11" xfId="15" applyNumberFormat="1" applyFont="1" applyBorder="1" applyAlignment="1">
      <alignment vertical="center" wrapText="1"/>
    </xf>
    <xf numFmtId="0" fontId="28" fillId="0" borderId="0" xfId="15" applyFont="1" applyAlignment="1">
      <alignment horizontal="left" vertical="center"/>
    </xf>
    <xf numFmtId="41" fontId="28" fillId="0" borderId="0" xfId="15" applyNumberFormat="1" applyFont="1" applyAlignment="1">
      <alignment horizontal="right" vertical="center"/>
    </xf>
    <xf numFmtId="0" fontId="30" fillId="5" borderId="0" xfId="15" applyFont="1" applyFill="1" applyAlignment="1">
      <alignment horizontal="left" vertical="center"/>
    </xf>
    <xf numFmtId="49" fontId="31" fillId="5" borderId="0" xfId="15" applyNumberFormat="1" applyFont="1" applyFill="1" applyAlignment="1">
      <alignment horizontal="left" vertical="center"/>
    </xf>
    <xf numFmtId="0" fontId="32" fillId="5" borderId="0" xfId="15" applyFont="1" applyFill="1" applyAlignment="1">
      <alignment vertical="center"/>
    </xf>
    <xf numFmtId="38" fontId="32" fillId="5" borderId="0" xfId="3" applyNumberFormat="1" applyFont="1" applyFill="1" applyAlignment="1">
      <alignment vertical="center"/>
    </xf>
    <xf numFmtId="38" fontId="32" fillId="5" borderId="0" xfId="15" applyNumberFormat="1" applyFont="1" applyFill="1" applyAlignment="1">
      <alignment horizontal="right" vertical="center"/>
    </xf>
    <xf numFmtId="0" fontId="18" fillId="5" borderId="0" xfId="15" applyFont="1" applyFill="1" applyAlignment="1">
      <alignment horizontal="right" vertical="center"/>
    </xf>
    <xf numFmtId="0" fontId="33" fillId="3" borderId="12" xfId="15" applyFont="1" applyFill="1" applyBorder="1" applyAlignment="1">
      <alignment horizontal="center" vertical="center"/>
    </xf>
    <xf numFmtId="0" fontId="34" fillId="0" borderId="0" xfId="15" applyFont="1" applyAlignment="1">
      <alignment vertical="center"/>
    </xf>
    <xf numFmtId="0" fontId="36" fillId="0" borderId="0" xfId="15" applyFont="1" applyAlignment="1">
      <alignment vertical="center"/>
    </xf>
    <xf numFmtId="179" fontId="40" fillId="9" borderId="19" xfId="37" applyNumberFormat="1" applyFont="1" applyFill="1" applyBorder="1" applyAlignment="1">
      <alignment horizontal="center" vertical="center"/>
    </xf>
    <xf numFmtId="180" fontId="40" fillId="9" borderId="18" xfId="37" applyNumberFormat="1" applyFont="1" applyFill="1" applyBorder="1" applyAlignment="1">
      <alignment horizontal="center" vertical="center"/>
    </xf>
    <xf numFmtId="0" fontId="44" fillId="5" borderId="0" xfId="15" applyFont="1" applyFill="1" applyAlignment="1">
      <alignment vertical="center"/>
    </xf>
    <xf numFmtId="38" fontId="44" fillId="5" borderId="0" xfId="15" applyNumberFormat="1" applyFont="1" applyFill="1" applyAlignment="1">
      <alignment vertical="center"/>
    </xf>
    <xf numFmtId="38" fontId="44" fillId="5" borderId="0" xfId="3" applyNumberFormat="1" applyFont="1" applyFill="1" applyAlignment="1">
      <alignment vertical="center"/>
    </xf>
    <xf numFmtId="49" fontId="44" fillId="5" borderId="0" xfId="15" applyNumberFormat="1" applyFont="1" applyFill="1" applyAlignment="1">
      <alignment vertical="center"/>
    </xf>
    <xf numFmtId="0" fontId="44" fillId="5" borderId="0" xfId="15" applyFont="1" applyFill="1" applyAlignment="1">
      <alignment horizontal="center" vertical="center"/>
    </xf>
    <xf numFmtId="0" fontId="25" fillId="0" borderId="0" xfId="15" applyFont="1" applyAlignment="1">
      <alignment horizontal="right" vertical="center"/>
    </xf>
    <xf numFmtId="0" fontId="45" fillId="0" borderId="0" xfId="15" applyFont="1" applyAlignment="1">
      <alignment vertical="center"/>
    </xf>
    <xf numFmtId="0" fontId="47" fillId="0" borderId="0" xfId="39" applyFont="1" applyAlignment="1">
      <alignment horizontal="left" vertical="center" wrapText="1"/>
    </xf>
    <xf numFmtId="0" fontId="51" fillId="5" borderId="0" xfId="15" applyFont="1" applyFill="1" applyAlignment="1">
      <alignment vertical="center"/>
    </xf>
    <xf numFmtId="0" fontId="33" fillId="3" borderId="26" xfId="15" applyFont="1" applyFill="1" applyBorder="1" applyAlignment="1">
      <alignment horizontal="center" vertical="center"/>
    </xf>
    <xf numFmtId="38" fontId="33" fillId="3" borderId="3" xfId="3" applyNumberFormat="1" applyFont="1" applyFill="1" applyBorder="1" applyAlignment="1">
      <alignment horizontal="center" vertical="center"/>
    </xf>
    <xf numFmtId="0" fontId="33" fillId="3" borderId="35" xfId="15" applyFont="1" applyFill="1" applyBorder="1" applyAlignment="1">
      <alignment horizontal="center" vertical="center"/>
    </xf>
    <xf numFmtId="49" fontId="33" fillId="3" borderId="24" xfId="15" applyNumberFormat="1" applyFont="1" applyFill="1" applyBorder="1" applyAlignment="1">
      <alignment horizontal="center" vertical="center"/>
    </xf>
    <xf numFmtId="0" fontId="52" fillId="0" borderId="0" xfId="15" applyFont="1" applyAlignment="1">
      <alignment horizontal="center" vertical="center"/>
    </xf>
    <xf numFmtId="0" fontId="25" fillId="0" borderId="0" xfId="15" applyFont="1" applyAlignment="1">
      <alignment horizontal="center" vertical="center"/>
    </xf>
    <xf numFmtId="182" fontId="25" fillId="0" borderId="0" xfId="15" applyNumberFormat="1" applyFont="1" applyAlignment="1">
      <alignment horizontal="left" vertical="center"/>
    </xf>
    <xf numFmtId="0" fontId="25" fillId="0" borderId="0" xfId="15" applyFont="1" applyAlignment="1">
      <alignment horizontal="left" vertical="center"/>
    </xf>
    <xf numFmtId="0" fontId="28" fillId="0" borderId="0" xfId="15" applyFont="1" applyAlignment="1">
      <alignment vertical="center" wrapText="1"/>
    </xf>
    <xf numFmtId="0" fontId="11" fillId="5" borderId="0" xfId="15" applyFont="1" applyFill="1" applyAlignment="1">
      <alignment vertical="center"/>
    </xf>
    <xf numFmtId="0" fontId="19" fillId="5" borderId="0" xfId="15" applyFont="1" applyFill="1" applyAlignment="1">
      <alignment horizontal="center" vertical="center"/>
    </xf>
    <xf numFmtId="0" fontId="25" fillId="5" borderId="0" xfId="15" applyFont="1" applyFill="1" applyAlignment="1">
      <alignment horizontal="left" vertical="center"/>
    </xf>
    <xf numFmtId="0" fontId="25" fillId="5" borderId="1" xfId="15" applyFont="1" applyFill="1" applyBorder="1" applyAlignment="1">
      <alignment horizontal="centerContinuous" vertical="center"/>
    </xf>
    <xf numFmtId="49" fontId="24" fillId="5" borderId="0" xfId="15" applyNumberFormat="1" applyFont="1" applyFill="1" applyAlignment="1">
      <alignment horizontal="center" vertical="center" wrapText="1"/>
    </xf>
    <xf numFmtId="0" fontId="25" fillId="5" borderId="0" xfId="15" applyFont="1" applyFill="1" applyAlignment="1">
      <alignment vertical="center"/>
    </xf>
    <xf numFmtId="31" fontId="25" fillId="5" borderId="0" xfId="15" applyNumberFormat="1" applyFont="1" applyFill="1" applyAlignment="1">
      <alignment horizontal="left" vertical="center"/>
    </xf>
    <xf numFmtId="49" fontId="25" fillId="0" borderId="0" xfId="15" applyNumberFormat="1" applyFont="1" applyAlignment="1">
      <alignment horizontal="left" vertical="center" wrapText="1"/>
    </xf>
    <xf numFmtId="0" fontId="53" fillId="5" borderId="0" xfId="15" applyFont="1" applyFill="1" applyAlignment="1">
      <alignment horizontal="right" vertical="center"/>
    </xf>
    <xf numFmtId="0" fontId="11" fillId="5" borderId="0" xfId="15" applyFont="1" applyFill="1" applyAlignment="1">
      <alignment horizontal="center" vertical="center"/>
    </xf>
    <xf numFmtId="49" fontId="20" fillId="5" borderId="0" xfId="15" applyNumberFormat="1" applyFont="1" applyFill="1" applyAlignment="1">
      <alignment horizontal="center" vertical="center" wrapText="1"/>
    </xf>
    <xf numFmtId="41" fontId="34" fillId="0" borderId="18" xfId="3" applyFont="1" applyFill="1" applyBorder="1" applyAlignment="1">
      <alignment horizontal="right" vertical="center"/>
    </xf>
    <xf numFmtId="38" fontId="33" fillId="8" borderId="22" xfId="3" applyNumberFormat="1" applyFont="1" applyFill="1" applyBorder="1" applyAlignment="1">
      <alignment horizontal="center" vertical="center"/>
    </xf>
    <xf numFmtId="177" fontId="29" fillId="5" borderId="0" xfId="15" applyNumberFormat="1" applyFont="1" applyFill="1" applyAlignment="1">
      <alignment horizontal="center" vertical="center"/>
    </xf>
    <xf numFmtId="179" fontId="41" fillId="0" borderId="1" xfId="37" applyNumberFormat="1" applyFont="1" applyBorder="1" applyAlignment="1">
      <alignment horizontal="center" vertical="center" wrapText="1"/>
    </xf>
    <xf numFmtId="179" fontId="40" fillId="0" borderId="1" xfId="37" applyNumberFormat="1" applyFont="1" applyBorder="1" applyAlignment="1">
      <alignment horizontal="center" vertical="center" wrapText="1"/>
    </xf>
    <xf numFmtId="0" fontId="39" fillId="2" borderId="1" xfId="37" applyFont="1" applyFill="1" applyBorder="1" applyAlignment="1">
      <alignment horizontal="center" vertical="center" wrapText="1"/>
    </xf>
    <xf numFmtId="181" fontId="34" fillId="6" borderId="1" xfId="36" applyNumberFormat="1" applyFont="1" applyFill="1" applyBorder="1" applyAlignment="1">
      <alignment horizontal="center" vertical="center"/>
    </xf>
    <xf numFmtId="41" fontId="34" fillId="6" borderId="1" xfId="3" applyFont="1" applyFill="1" applyBorder="1" applyAlignment="1">
      <alignment horizontal="right" vertical="center"/>
    </xf>
    <xf numFmtId="41" fontId="34" fillId="6" borderId="1" xfId="3" applyFont="1" applyFill="1" applyBorder="1" applyAlignment="1">
      <alignment vertical="center"/>
    </xf>
    <xf numFmtId="0" fontId="34" fillId="6" borderId="1" xfId="15" quotePrefix="1" applyFont="1" applyFill="1" applyBorder="1" applyAlignment="1">
      <alignment horizontal="center" vertical="center"/>
    </xf>
    <xf numFmtId="49" fontId="33" fillId="3" borderId="5" xfId="15" applyNumberFormat="1" applyFont="1" applyFill="1" applyBorder="1" applyAlignment="1">
      <alignment horizontal="center" vertical="center"/>
    </xf>
    <xf numFmtId="49" fontId="20" fillId="0" borderId="0" xfId="15" applyNumberFormat="1" applyFont="1" applyAlignment="1">
      <alignment horizontal="left" vertical="center" wrapText="1"/>
    </xf>
    <xf numFmtId="0" fontId="49" fillId="0" borderId="0" xfId="15" applyFont="1" applyAlignment="1">
      <alignment horizontal="left" vertical="center"/>
    </xf>
    <xf numFmtId="0" fontId="62" fillId="10" borderId="1" xfId="0" applyFont="1" applyFill="1" applyBorder="1" applyAlignment="1">
      <alignment horizontal="center" vertical="center"/>
    </xf>
    <xf numFmtId="0" fontId="63" fillId="0" borderId="49" xfId="0" applyFont="1" applyBorder="1" applyAlignment="1">
      <alignment horizontal="center" vertical="center"/>
    </xf>
    <xf numFmtId="0" fontId="63" fillId="12" borderId="30" xfId="0" applyFont="1" applyFill="1" applyBorder="1" applyAlignment="1">
      <alignment horizontal="center" vertical="center"/>
    </xf>
    <xf numFmtId="0" fontId="63" fillId="0" borderId="50" xfId="0" applyFont="1" applyBorder="1" applyAlignment="1">
      <alignment horizontal="center" vertical="center"/>
    </xf>
    <xf numFmtId="0" fontId="63" fillId="0" borderId="51" xfId="0" applyFont="1" applyBorder="1" applyAlignment="1">
      <alignment horizontal="center" vertical="center"/>
    </xf>
    <xf numFmtId="0" fontId="63" fillId="0" borderId="11" xfId="0" applyFont="1" applyBorder="1" applyAlignment="1">
      <alignment horizontal="center" vertical="center"/>
    </xf>
    <xf numFmtId="0" fontId="63" fillId="0" borderId="52" xfId="0" applyFont="1" applyBorder="1" applyAlignment="1">
      <alignment horizontal="center" vertical="center"/>
    </xf>
    <xf numFmtId="0" fontId="63" fillId="0" borderId="30" xfId="0" applyFont="1" applyBorder="1" applyAlignment="1">
      <alignment horizontal="center" vertical="center"/>
    </xf>
    <xf numFmtId="0" fontId="63" fillId="0" borderId="49" xfId="0" applyFont="1" applyBorder="1">
      <alignment vertical="center"/>
    </xf>
    <xf numFmtId="0" fontId="63" fillId="0" borderId="53" xfId="0" applyFont="1" applyBorder="1" applyAlignment="1">
      <alignment horizontal="center" vertical="center"/>
    </xf>
    <xf numFmtId="0" fontId="63" fillId="0" borderId="36" xfId="0" applyFont="1" applyBorder="1" applyAlignment="1">
      <alignment horizontal="center" vertical="center"/>
    </xf>
    <xf numFmtId="38" fontId="33" fillId="3" borderId="5" xfId="3" applyNumberFormat="1" applyFont="1" applyFill="1" applyBorder="1" applyAlignment="1">
      <alignment horizontal="center" vertical="center"/>
    </xf>
    <xf numFmtId="41" fontId="33" fillId="7" borderId="19" xfId="15" applyNumberFormat="1" applyFont="1" applyFill="1" applyBorder="1" applyAlignment="1">
      <alignment vertical="center"/>
    </xf>
    <xf numFmtId="9" fontId="33" fillId="7" borderId="19" xfId="3" applyNumberFormat="1" applyFont="1" applyFill="1" applyBorder="1" applyAlignment="1">
      <alignment horizontal="right" vertical="center"/>
    </xf>
    <xf numFmtId="183" fontId="33" fillId="7" borderId="19" xfId="3" applyNumberFormat="1" applyFont="1" applyFill="1" applyBorder="1" applyAlignment="1">
      <alignment horizontal="right" vertical="center"/>
    </xf>
    <xf numFmtId="0" fontId="63" fillId="0" borderId="48" xfId="0" applyFont="1" applyBorder="1" applyAlignment="1">
      <alignment horizontal="center" vertical="center"/>
    </xf>
    <xf numFmtId="0" fontId="63" fillId="0" borderId="47" xfId="0" applyFont="1" applyBorder="1" applyAlignment="1">
      <alignment horizontal="center" vertical="center"/>
    </xf>
    <xf numFmtId="0" fontId="61" fillId="10" borderId="40" xfId="0" applyFont="1" applyFill="1" applyBorder="1" applyAlignment="1">
      <alignment horizontal="center" vertical="center"/>
    </xf>
    <xf numFmtId="0" fontId="62" fillId="10" borderId="41" xfId="0" applyFont="1" applyFill="1" applyBorder="1" applyAlignment="1">
      <alignment horizontal="center" vertical="center"/>
    </xf>
    <xf numFmtId="0" fontId="63" fillId="12" borderId="58" xfId="0" applyFont="1" applyFill="1" applyBorder="1" applyAlignment="1">
      <alignment horizontal="center" vertical="center"/>
    </xf>
    <xf numFmtId="0" fontId="63" fillId="0" borderId="60" xfId="0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3" fillId="12" borderId="0" xfId="0" applyFont="1" applyFill="1" applyAlignment="1">
      <alignment horizontal="center" vertical="center"/>
    </xf>
    <xf numFmtId="179" fontId="13" fillId="0" borderId="0" xfId="25" quotePrefix="1" applyNumberFormat="1" applyFont="1" applyAlignment="1">
      <alignment horizontal="left" vertical="center"/>
    </xf>
    <xf numFmtId="0" fontId="63" fillId="0" borderId="48" xfId="0" applyFont="1" applyBorder="1">
      <alignment vertical="center"/>
    </xf>
    <xf numFmtId="179" fontId="13" fillId="0" borderId="0" xfId="25" quotePrefix="1" applyNumberFormat="1" applyFont="1">
      <alignment vertical="center"/>
    </xf>
    <xf numFmtId="0" fontId="59" fillId="0" borderId="6" xfId="37" applyFont="1" applyBorder="1">
      <alignment vertical="center"/>
    </xf>
    <xf numFmtId="0" fontId="63" fillId="6" borderId="63" xfId="0" applyFont="1" applyFill="1" applyBorder="1" applyAlignment="1">
      <alignment horizontal="center" vertical="center"/>
    </xf>
    <xf numFmtId="0" fontId="63" fillId="6" borderId="62" xfId="0" applyFont="1" applyFill="1" applyBorder="1" applyAlignment="1">
      <alignment horizontal="center" vertical="center"/>
    </xf>
    <xf numFmtId="0" fontId="63" fillId="6" borderId="14" xfId="0" applyFont="1" applyFill="1" applyBorder="1" applyAlignment="1">
      <alignment horizontal="center" vertical="top"/>
    </xf>
    <xf numFmtId="0" fontId="63" fillId="6" borderId="54" xfId="0" applyFont="1" applyFill="1" applyBorder="1" applyAlignment="1">
      <alignment horizontal="center" vertical="top"/>
    </xf>
    <xf numFmtId="0" fontId="63" fillId="6" borderId="1" xfId="0" applyFont="1" applyFill="1" applyBorder="1" applyAlignment="1">
      <alignment horizontal="left" vertical="center"/>
    </xf>
    <xf numFmtId="0" fontId="64" fillId="6" borderId="1" xfId="0" applyFont="1" applyFill="1" applyBorder="1" applyAlignment="1">
      <alignment horizontal="left" vertical="center"/>
    </xf>
    <xf numFmtId="0" fontId="65" fillId="0" borderId="0" xfId="0" applyFont="1" applyAlignment="1">
      <alignment horizontal="center" vertical="center"/>
    </xf>
    <xf numFmtId="0" fontId="63" fillId="0" borderId="0" xfId="0" applyFont="1">
      <alignment vertical="center"/>
    </xf>
    <xf numFmtId="0" fontId="65" fillId="3" borderId="4" xfId="0" applyFont="1" applyFill="1" applyBorder="1" applyAlignment="1">
      <alignment horizontal="center" vertical="center"/>
    </xf>
    <xf numFmtId="0" fontId="65" fillId="3" borderId="5" xfId="0" applyFont="1" applyFill="1" applyBorder="1" applyAlignment="1">
      <alignment horizontal="center" vertical="center"/>
    </xf>
    <xf numFmtId="0" fontId="65" fillId="3" borderId="13" xfId="0" applyFont="1" applyFill="1" applyBorder="1" applyAlignment="1">
      <alignment horizontal="center" vertical="center"/>
    </xf>
    <xf numFmtId="0" fontId="63" fillId="6" borderId="1" xfId="0" applyFont="1" applyFill="1" applyBorder="1" applyAlignment="1">
      <alignment horizontal="center" vertical="center"/>
    </xf>
    <xf numFmtId="0" fontId="63" fillId="6" borderId="23" xfId="0" applyFont="1" applyFill="1" applyBorder="1" applyAlignment="1">
      <alignment horizontal="center" vertical="center"/>
    </xf>
    <xf numFmtId="0" fontId="63" fillId="0" borderId="1" xfId="0" applyFont="1" applyBorder="1">
      <alignment vertical="center"/>
    </xf>
    <xf numFmtId="0" fontId="63" fillId="6" borderId="63" xfId="0" applyFont="1" applyFill="1" applyBorder="1" applyAlignment="1">
      <alignment horizontal="center" vertical="top"/>
    </xf>
    <xf numFmtId="0" fontId="63" fillId="6" borderId="1" xfId="0" applyFont="1" applyFill="1" applyBorder="1">
      <alignment vertical="center"/>
    </xf>
    <xf numFmtId="0" fontId="64" fillId="6" borderId="1" xfId="0" applyFont="1" applyFill="1" applyBorder="1">
      <alignment vertical="center"/>
    </xf>
    <xf numFmtId="0" fontId="64" fillId="6" borderId="1" xfId="0" applyFont="1" applyFill="1" applyBorder="1" applyAlignment="1">
      <alignment horizontal="center" vertical="center"/>
    </xf>
    <xf numFmtId="0" fontId="64" fillId="6" borderId="23" xfId="0" applyFont="1" applyFill="1" applyBorder="1" applyAlignment="1">
      <alignment horizontal="center" vertical="center"/>
    </xf>
    <xf numFmtId="0" fontId="63" fillId="0" borderId="1" xfId="0" applyFont="1" applyBorder="1" applyAlignment="1">
      <alignment horizontal="left" vertical="center"/>
    </xf>
    <xf numFmtId="0" fontId="66" fillId="0" borderId="70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184" fontId="66" fillId="0" borderId="0" xfId="0" applyNumberFormat="1" applyFont="1" applyAlignment="1">
      <alignment horizontal="left" vertical="center"/>
    </xf>
    <xf numFmtId="0" fontId="66" fillId="0" borderId="0" xfId="0" applyFont="1">
      <alignment vertical="center"/>
    </xf>
    <xf numFmtId="0" fontId="64" fillId="0" borderId="0" xfId="0" applyFont="1" applyAlignment="1">
      <alignment horizontal="left" vertical="center"/>
    </xf>
    <xf numFmtId="0" fontId="64" fillId="0" borderId="1" xfId="0" applyFont="1" applyBorder="1">
      <alignment vertical="center"/>
    </xf>
    <xf numFmtId="0" fontId="64" fillId="0" borderId="0" xfId="0" applyFont="1">
      <alignment vertical="center"/>
    </xf>
    <xf numFmtId="0" fontId="63" fillId="6" borderId="62" xfId="0" applyFont="1" applyFill="1" applyBorder="1">
      <alignment vertical="center"/>
    </xf>
    <xf numFmtId="0" fontId="64" fillId="6" borderId="62" xfId="0" applyFont="1" applyFill="1" applyBorder="1">
      <alignment vertical="center"/>
    </xf>
    <xf numFmtId="0" fontId="64" fillId="6" borderId="62" xfId="0" applyFont="1" applyFill="1" applyBorder="1" applyAlignment="1">
      <alignment vertical="center" wrapText="1"/>
    </xf>
    <xf numFmtId="38" fontId="33" fillId="3" borderId="26" xfId="3" applyNumberFormat="1" applyFont="1" applyFill="1" applyBorder="1" applyAlignment="1">
      <alignment horizontal="center" vertical="center"/>
    </xf>
    <xf numFmtId="41" fontId="33" fillId="7" borderId="18" xfId="3" applyFont="1" applyFill="1" applyBorder="1" applyAlignment="1">
      <alignment horizontal="right" vertical="center"/>
    </xf>
    <xf numFmtId="0" fontId="0" fillId="0" borderId="58" xfId="0" applyBorder="1">
      <alignment vertical="center"/>
    </xf>
    <xf numFmtId="0" fontId="63" fillId="0" borderId="57" xfId="0" applyFont="1" applyBorder="1" applyAlignment="1">
      <alignment horizontal="center" vertical="center"/>
    </xf>
    <xf numFmtId="3" fontId="37" fillId="0" borderId="1" xfId="34" applyNumberFormat="1" applyFont="1" applyBorder="1" applyAlignment="1">
      <alignment horizontal="center" vertical="center"/>
    </xf>
    <xf numFmtId="0" fontId="48" fillId="4" borderId="5" xfId="34" applyFont="1" applyFill="1" applyBorder="1" applyAlignment="1">
      <alignment horizontal="center" vertical="center"/>
    </xf>
    <xf numFmtId="0" fontId="63" fillId="0" borderId="29" xfId="0" applyFont="1" applyBorder="1">
      <alignment vertical="center"/>
    </xf>
    <xf numFmtId="0" fontId="63" fillId="0" borderId="57" xfId="0" applyFont="1" applyBorder="1">
      <alignment vertical="center"/>
    </xf>
    <xf numFmtId="0" fontId="63" fillId="0" borderId="58" xfId="0" applyFont="1" applyBorder="1" applyAlignment="1">
      <alignment horizontal="center" vertical="center"/>
    </xf>
    <xf numFmtId="0" fontId="63" fillId="0" borderId="59" xfId="0" applyFont="1" applyBorder="1" applyAlignment="1">
      <alignment horizontal="center" vertical="center"/>
    </xf>
    <xf numFmtId="3" fontId="38" fillId="0" borderId="1" xfId="15" applyNumberFormat="1" applyFont="1" applyBorder="1" applyAlignment="1">
      <alignment vertical="center" wrapText="1"/>
    </xf>
    <xf numFmtId="38" fontId="44" fillId="5" borderId="23" xfId="15" applyNumberFormat="1" applyFont="1" applyFill="1" applyBorder="1" applyAlignment="1">
      <alignment vertical="center"/>
    </xf>
    <xf numFmtId="0" fontId="45" fillId="0" borderId="23" xfId="38" quotePrefix="1" applyFont="1" applyBorder="1" applyAlignment="1">
      <alignment horizontal="left" vertical="center" wrapText="1"/>
    </xf>
    <xf numFmtId="0" fontId="47" fillId="0" borderId="23" xfId="39" applyFont="1" applyBorder="1" applyAlignment="1">
      <alignment horizontal="left" vertical="center" wrapText="1"/>
    </xf>
    <xf numFmtId="0" fontId="48" fillId="4" borderId="13" xfId="34" applyFont="1" applyFill="1" applyBorder="1" applyAlignment="1">
      <alignment horizontal="center" vertical="center" wrapText="1"/>
    </xf>
    <xf numFmtId="3" fontId="38" fillId="0" borderId="19" xfId="15" applyNumberFormat="1" applyFont="1" applyBorder="1" applyAlignment="1">
      <alignment vertical="center" wrapText="1"/>
    </xf>
    <xf numFmtId="0" fontId="39" fillId="3" borderId="54" xfId="37" applyFont="1" applyFill="1" applyBorder="1" applyAlignment="1">
      <alignment horizontal="center" vertical="center" wrapText="1"/>
    </xf>
    <xf numFmtId="0" fontId="39" fillId="3" borderId="71" xfId="37" applyFont="1" applyFill="1" applyBorder="1" applyAlignment="1">
      <alignment horizontal="center" vertical="center" wrapText="1"/>
    </xf>
    <xf numFmtId="0" fontId="33" fillId="5" borderId="54" xfId="15" applyFont="1" applyFill="1" applyBorder="1" applyAlignment="1">
      <alignment horizontal="center" vertical="center" wrapText="1"/>
    </xf>
    <xf numFmtId="0" fontId="33" fillId="5" borderId="7" xfId="15" applyFont="1" applyFill="1" applyBorder="1" applyAlignment="1">
      <alignment horizontal="center" vertical="center" wrapText="1"/>
    </xf>
    <xf numFmtId="3" fontId="38" fillId="13" borderId="1" xfId="15" applyNumberFormat="1" applyFont="1" applyFill="1" applyBorder="1" applyAlignment="1">
      <alignment vertical="center" wrapText="1"/>
    </xf>
    <xf numFmtId="3" fontId="37" fillId="13" borderId="1" xfId="34" applyNumberFormat="1" applyFont="1" applyFill="1" applyBorder="1" applyAlignment="1">
      <alignment horizontal="center" vertical="center"/>
    </xf>
    <xf numFmtId="0" fontId="45" fillId="13" borderId="23" xfId="38" quotePrefix="1" applyFont="1" applyFill="1" applyBorder="1" applyAlignment="1">
      <alignment horizontal="left" vertical="center" wrapText="1"/>
    </xf>
    <xf numFmtId="0" fontId="18" fillId="0" borderId="30" xfId="38" quotePrefix="1" applyFont="1" applyBorder="1" applyAlignment="1">
      <alignment horizontal="left" vertical="center" wrapText="1"/>
    </xf>
    <xf numFmtId="0" fontId="18" fillId="0" borderId="0" xfId="38" quotePrefix="1" applyFont="1" applyAlignment="1">
      <alignment horizontal="left" vertical="center" wrapText="1"/>
    </xf>
    <xf numFmtId="0" fontId="18" fillId="0" borderId="29" xfId="38" quotePrefix="1" applyFont="1" applyBorder="1" applyAlignment="1">
      <alignment horizontal="left" vertical="center" wrapText="1"/>
    </xf>
    <xf numFmtId="0" fontId="38" fillId="0" borderId="74" xfId="15" applyFont="1" applyBorder="1" applyAlignment="1">
      <alignment horizontal="left" vertical="center" wrapText="1"/>
    </xf>
    <xf numFmtId="0" fontId="38" fillId="0" borderId="8" xfId="15" applyFont="1" applyBorder="1" applyAlignment="1">
      <alignment horizontal="left" vertical="center" wrapText="1"/>
    </xf>
    <xf numFmtId="3" fontId="37" fillId="0" borderId="1" xfId="34" applyNumberFormat="1" applyFont="1" applyBorder="1" applyAlignment="1">
      <alignment horizontal="center" vertical="center"/>
    </xf>
    <xf numFmtId="0" fontId="25" fillId="5" borderId="9" xfId="15" applyFont="1" applyFill="1" applyBorder="1" applyAlignment="1">
      <alignment horizontal="left" vertical="center"/>
    </xf>
    <xf numFmtId="0" fontId="25" fillId="5" borderId="8" xfId="15" applyFont="1" applyFill="1" applyBorder="1" applyAlignment="1">
      <alignment horizontal="left" vertical="center"/>
    </xf>
    <xf numFmtId="31" fontId="25" fillId="5" borderId="9" xfId="15" applyNumberFormat="1" applyFont="1" applyFill="1" applyBorder="1" applyAlignment="1">
      <alignment horizontal="left" vertical="center"/>
    </xf>
    <xf numFmtId="31" fontId="25" fillId="5" borderId="8" xfId="15" applyNumberFormat="1" applyFont="1" applyFill="1" applyBorder="1" applyAlignment="1">
      <alignment horizontal="left" vertical="center"/>
    </xf>
    <xf numFmtId="49" fontId="33" fillId="7" borderId="19" xfId="15" applyNumberFormat="1" applyFont="1" applyFill="1" applyBorder="1" applyAlignment="1">
      <alignment horizontal="center" vertical="center"/>
    </xf>
    <xf numFmtId="38" fontId="33" fillId="3" borderId="24" xfId="3" applyNumberFormat="1" applyFont="1" applyFill="1" applyBorder="1" applyAlignment="1">
      <alignment horizontal="center" vertical="center"/>
    </xf>
    <xf numFmtId="38" fontId="33" fillId="3" borderId="25" xfId="3" applyNumberFormat="1" applyFont="1" applyFill="1" applyBorder="1" applyAlignment="1">
      <alignment horizontal="center" vertical="center"/>
    </xf>
    <xf numFmtId="41" fontId="34" fillId="6" borderId="15" xfId="3" applyFont="1" applyFill="1" applyBorder="1" applyAlignment="1">
      <alignment horizontal="center" vertical="center"/>
    </xf>
    <xf numFmtId="41" fontId="34" fillId="6" borderId="17" xfId="3" applyFont="1" applyFill="1" applyBorder="1" applyAlignment="1">
      <alignment horizontal="center" vertical="center"/>
    </xf>
    <xf numFmtId="0" fontId="33" fillId="8" borderId="20" xfId="15" applyFont="1" applyFill="1" applyBorder="1" applyAlignment="1">
      <alignment horizontal="center" vertical="center"/>
    </xf>
    <xf numFmtId="0" fontId="33" fillId="8" borderId="21" xfId="15" applyFont="1" applyFill="1" applyBorder="1" applyAlignment="1">
      <alignment horizontal="center" vertical="center"/>
    </xf>
    <xf numFmtId="0" fontId="33" fillId="8" borderId="34" xfId="15" applyFont="1" applyFill="1" applyBorder="1" applyAlignment="1">
      <alignment horizontal="center" vertical="center"/>
    </xf>
    <xf numFmtId="3" fontId="37" fillId="13" borderId="1" xfId="34" applyNumberFormat="1" applyFont="1" applyFill="1" applyBorder="1" applyAlignment="1">
      <alignment horizontal="center" vertical="center"/>
    </xf>
    <xf numFmtId="0" fontId="18" fillId="0" borderId="28" xfId="38" quotePrefix="1" applyFont="1" applyBorder="1" applyAlignment="1">
      <alignment horizontal="left" vertical="center" wrapText="1"/>
    </xf>
    <xf numFmtId="0" fontId="18" fillId="0" borderId="6" xfId="38" quotePrefix="1" applyFont="1" applyBorder="1" applyAlignment="1">
      <alignment horizontal="left" vertical="center" wrapText="1"/>
    </xf>
    <xf numFmtId="0" fontId="18" fillId="0" borderId="27" xfId="38" quotePrefix="1" applyFont="1" applyBorder="1" applyAlignment="1">
      <alignment horizontal="left" vertical="center" wrapText="1"/>
    </xf>
    <xf numFmtId="49" fontId="55" fillId="0" borderId="0" xfId="15" applyNumberFormat="1" applyFont="1" applyAlignment="1">
      <alignment horizontal="left" vertical="center" wrapText="1"/>
    </xf>
    <xf numFmtId="49" fontId="20" fillId="0" borderId="0" xfId="15" applyNumberFormat="1" applyFont="1" applyAlignment="1">
      <alignment horizontal="left" vertical="center" wrapText="1"/>
    </xf>
    <xf numFmtId="0" fontId="54" fillId="2" borderId="0" xfId="15" applyFont="1" applyFill="1" applyAlignment="1">
      <alignment horizontal="center" vertical="center"/>
    </xf>
    <xf numFmtId="0" fontId="33" fillId="3" borderId="24" xfId="15" applyFont="1" applyFill="1" applyBorder="1" applyAlignment="1">
      <alignment horizontal="center" vertical="center"/>
    </xf>
    <xf numFmtId="0" fontId="33" fillId="3" borderId="25" xfId="15" applyFont="1" applyFill="1" applyBorder="1" applyAlignment="1">
      <alignment horizontal="center" vertical="center"/>
    </xf>
    <xf numFmtId="0" fontId="49" fillId="0" borderId="0" xfId="15" applyFont="1" applyAlignment="1">
      <alignment horizontal="left" vertical="center"/>
    </xf>
    <xf numFmtId="49" fontId="50" fillId="0" borderId="12" xfId="38" applyNumberFormat="1" applyFont="1" applyBorder="1" applyAlignment="1">
      <alignment horizontal="center" vertical="center"/>
    </xf>
    <xf numFmtId="49" fontId="50" fillId="0" borderId="14" xfId="38" applyNumberFormat="1" applyFont="1" applyBorder="1" applyAlignment="1">
      <alignment horizontal="center" vertical="center"/>
    </xf>
    <xf numFmtId="49" fontId="50" fillId="0" borderId="7" xfId="38" applyNumberFormat="1" applyFont="1" applyBorder="1" applyAlignment="1">
      <alignment horizontal="center" vertical="center"/>
    </xf>
    <xf numFmtId="0" fontId="18" fillId="0" borderId="32" xfId="38" quotePrefix="1" applyFont="1" applyBorder="1" applyAlignment="1">
      <alignment horizontal="left" vertical="center" wrapText="1"/>
    </xf>
    <xf numFmtId="0" fontId="18" fillId="0" borderId="2" xfId="38" quotePrefix="1" applyFont="1" applyBorder="1" applyAlignment="1">
      <alignment horizontal="left" vertical="center" wrapText="1"/>
    </xf>
    <xf numFmtId="0" fontId="18" fillId="0" borderId="31" xfId="38" quotePrefix="1" applyFont="1" applyBorder="1" applyAlignment="1">
      <alignment horizontal="left" vertical="center" wrapText="1"/>
    </xf>
    <xf numFmtId="49" fontId="33" fillId="3" borderId="24" xfId="15" applyNumberFormat="1" applyFont="1" applyFill="1" applyBorder="1" applyAlignment="1">
      <alignment horizontal="center" vertical="center"/>
    </xf>
    <xf numFmtId="49" fontId="33" fillId="3" borderId="10" xfId="15" applyNumberFormat="1" applyFont="1" applyFill="1" applyBorder="1" applyAlignment="1">
      <alignment horizontal="center" vertical="center"/>
    </xf>
    <xf numFmtId="0" fontId="48" fillId="4" borderId="5" xfId="34" applyFont="1" applyFill="1" applyBorder="1" applyAlignment="1">
      <alignment horizontal="center" vertical="center"/>
    </xf>
    <xf numFmtId="0" fontId="38" fillId="13" borderId="74" xfId="15" applyFont="1" applyFill="1" applyBorder="1" applyAlignment="1">
      <alignment horizontal="left" vertical="center" wrapText="1"/>
    </xf>
    <xf numFmtId="0" fontId="38" fillId="13" borderId="8" xfId="15" applyFont="1" applyFill="1" applyBorder="1" applyAlignment="1">
      <alignment horizontal="left" vertical="center" wrapText="1"/>
    </xf>
    <xf numFmtId="0" fontId="37" fillId="0" borderId="74" xfId="15" applyFont="1" applyBorder="1" applyAlignment="1">
      <alignment horizontal="left" vertical="center" wrapText="1"/>
    </xf>
    <xf numFmtId="0" fontId="37" fillId="0" borderId="8" xfId="15" applyFont="1" applyBorder="1" applyAlignment="1">
      <alignment horizontal="left" vertical="center" wrapText="1"/>
    </xf>
    <xf numFmtId="0" fontId="38" fillId="0" borderId="72" xfId="15" applyFont="1" applyBorder="1" applyAlignment="1">
      <alignment horizontal="left" vertical="center" wrapText="1"/>
    </xf>
    <xf numFmtId="0" fontId="38" fillId="0" borderId="17" xfId="15" applyFont="1" applyBorder="1" applyAlignment="1">
      <alignment horizontal="left" vertical="center" wrapText="1"/>
    </xf>
    <xf numFmtId="0" fontId="13" fillId="0" borderId="0" xfId="25" applyFont="1" applyAlignment="1">
      <alignment horizontal="center" vertical="center"/>
    </xf>
    <xf numFmtId="0" fontId="39" fillId="2" borderId="3" xfId="37" applyFont="1" applyFill="1" applyBorder="1" applyAlignment="1">
      <alignment horizontal="center" vertical="center" wrapText="1"/>
    </xf>
    <xf numFmtId="0" fontId="39" fillId="2" borderId="61" xfId="37" applyFont="1" applyFill="1" applyBorder="1" applyAlignment="1">
      <alignment horizontal="center" vertical="center" wrapText="1"/>
    </xf>
    <xf numFmtId="0" fontId="39" fillId="2" borderId="62" xfId="37" applyFont="1" applyFill="1" applyBorder="1" applyAlignment="1">
      <alignment horizontal="center" vertical="center" wrapText="1"/>
    </xf>
    <xf numFmtId="0" fontId="39" fillId="2" borderId="26" xfId="37" applyFont="1" applyFill="1" applyBorder="1" applyAlignment="1">
      <alignment horizontal="center" vertical="center" wrapText="1"/>
    </xf>
    <xf numFmtId="0" fontId="39" fillId="2" borderId="64" xfId="37" applyFont="1" applyFill="1" applyBorder="1" applyAlignment="1">
      <alignment horizontal="center" vertical="center" wrapText="1"/>
    </xf>
    <xf numFmtId="0" fontId="39" fillId="2" borderId="65" xfId="37" applyFont="1" applyFill="1" applyBorder="1" applyAlignment="1">
      <alignment horizontal="center" vertical="center" wrapText="1"/>
    </xf>
    <xf numFmtId="0" fontId="39" fillId="2" borderId="24" xfId="37" applyFont="1" applyFill="1" applyBorder="1" applyAlignment="1">
      <alignment horizontal="center" vertical="center" wrapText="1"/>
    </xf>
    <xf numFmtId="0" fontId="39" fillId="2" borderId="10" xfId="37" applyFont="1" applyFill="1" applyBorder="1" applyAlignment="1">
      <alignment horizontal="center" vertical="center" wrapText="1"/>
    </xf>
    <xf numFmtId="0" fontId="39" fillId="2" borderId="9" xfId="37" applyFont="1" applyFill="1" applyBorder="1" applyAlignment="1">
      <alignment horizontal="center" vertical="center" wrapText="1"/>
    </xf>
    <xf numFmtId="0" fontId="39" fillId="2" borderId="46" xfId="37" applyFont="1" applyFill="1" applyBorder="1" applyAlignment="1">
      <alignment horizontal="center" vertical="center" wrapText="1"/>
    </xf>
    <xf numFmtId="0" fontId="39" fillId="2" borderId="8" xfId="37" applyFont="1" applyFill="1" applyBorder="1" applyAlignment="1">
      <alignment horizontal="center" vertical="center" wrapText="1"/>
    </xf>
    <xf numFmtId="0" fontId="42" fillId="9" borderId="72" xfId="37" applyFont="1" applyFill="1" applyBorder="1" applyAlignment="1">
      <alignment horizontal="center" vertical="center"/>
    </xf>
    <xf numFmtId="0" fontId="42" fillId="9" borderId="16" xfId="37" applyFont="1" applyFill="1" applyBorder="1" applyAlignment="1">
      <alignment horizontal="center" vertical="center"/>
    </xf>
    <xf numFmtId="0" fontId="39" fillId="2" borderId="12" xfId="37" applyFont="1" applyFill="1" applyBorder="1" applyAlignment="1">
      <alignment horizontal="center" vertical="center" wrapText="1"/>
    </xf>
    <xf numFmtId="0" fontId="39" fillId="2" borderId="14" xfId="37" applyFont="1" applyFill="1" applyBorder="1" applyAlignment="1">
      <alignment horizontal="center" vertical="center" wrapText="1"/>
    </xf>
    <xf numFmtId="0" fontId="39" fillId="2" borderId="63" xfId="37" applyFont="1" applyFill="1" applyBorder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184" fontId="66" fillId="0" borderId="0" xfId="0" applyNumberFormat="1" applyFont="1" applyAlignment="1">
      <alignment horizontal="left" vertical="center"/>
    </xf>
    <xf numFmtId="0" fontId="65" fillId="0" borderId="0" xfId="0" applyFont="1" applyAlignment="1">
      <alignment horizontal="left" vertical="center"/>
    </xf>
    <xf numFmtId="0" fontId="65" fillId="0" borderId="68" xfId="0" applyFont="1" applyBorder="1" applyAlignment="1">
      <alignment horizontal="center" vertical="center"/>
    </xf>
    <xf numFmtId="0" fontId="65" fillId="0" borderId="69" xfId="0" applyFont="1" applyBorder="1" applyAlignment="1">
      <alignment horizontal="center" vertical="center"/>
    </xf>
    <xf numFmtId="0" fontId="66" fillId="0" borderId="66" xfId="0" applyFont="1" applyBorder="1" applyAlignment="1">
      <alignment horizontal="center" vertical="center"/>
    </xf>
    <xf numFmtId="0" fontId="66" fillId="0" borderId="67" xfId="0" applyFont="1" applyBorder="1" applyAlignment="1">
      <alignment horizontal="center" vertical="center"/>
    </xf>
    <xf numFmtId="0" fontId="63" fillId="6" borderId="8" xfId="0" applyFont="1" applyFill="1" applyBorder="1" applyAlignment="1">
      <alignment horizontal="center" vertical="top"/>
    </xf>
    <xf numFmtId="0" fontId="0" fillId="0" borderId="55" xfId="0" applyBorder="1" applyAlignment="1">
      <alignment horizontal="center" vertical="center"/>
    </xf>
    <xf numFmtId="0" fontId="61" fillId="10" borderId="38" xfId="0" applyFont="1" applyFill="1" applyBorder="1" applyAlignment="1">
      <alignment horizontal="center" vertical="center"/>
    </xf>
    <xf numFmtId="0" fontId="63" fillId="0" borderId="47" xfId="0" applyFont="1" applyBorder="1" applyAlignment="1">
      <alignment horizontal="center" vertical="center"/>
    </xf>
    <xf numFmtId="0" fontId="63" fillId="0" borderId="48" xfId="0" applyFont="1" applyBorder="1" applyAlignment="1">
      <alignment horizontal="center" vertical="center"/>
    </xf>
    <xf numFmtId="0" fontId="63" fillId="0" borderId="73" xfId="0" applyFont="1" applyBorder="1" applyAlignment="1">
      <alignment horizontal="center" vertical="center"/>
    </xf>
    <xf numFmtId="0" fontId="63" fillId="0" borderId="5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0" fillId="0" borderId="36" xfId="0" applyFont="1" applyBorder="1" applyAlignment="1">
      <alignment horizontal="left" vertical="center"/>
    </xf>
    <xf numFmtId="0" fontId="61" fillId="10" borderId="42" xfId="0" applyFont="1" applyFill="1" applyBorder="1" applyAlignment="1">
      <alignment horizontal="center" vertical="center" wrapText="1"/>
    </xf>
    <xf numFmtId="0" fontId="61" fillId="10" borderId="44" xfId="0" applyFont="1" applyFill="1" applyBorder="1" applyAlignment="1">
      <alignment horizontal="center" vertical="center" wrapText="1"/>
    </xf>
    <xf numFmtId="0" fontId="61" fillId="10" borderId="45" xfId="0" applyFont="1" applyFill="1" applyBorder="1" applyAlignment="1">
      <alignment horizontal="center" vertical="center" wrapText="1"/>
    </xf>
    <xf numFmtId="0" fontId="61" fillId="10" borderId="43" xfId="0" applyFont="1" applyFill="1" applyBorder="1" applyAlignment="1">
      <alignment horizontal="center" vertical="center" wrapText="1"/>
    </xf>
    <xf numFmtId="0" fontId="61" fillId="10" borderId="39" xfId="0" applyFont="1" applyFill="1" applyBorder="1" applyAlignment="1">
      <alignment horizontal="center" vertical="center"/>
    </xf>
    <xf numFmtId="0" fontId="61" fillId="10" borderId="37" xfId="0" applyFont="1" applyFill="1" applyBorder="1" applyAlignment="1">
      <alignment horizontal="center" vertical="center"/>
    </xf>
    <xf numFmtId="0" fontId="61" fillId="10" borderId="40" xfId="0" applyFont="1" applyFill="1" applyBorder="1" applyAlignment="1">
      <alignment horizontal="center" vertical="center"/>
    </xf>
    <xf numFmtId="0" fontId="19" fillId="5" borderId="1" xfId="15" applyFont="1" applyFill="1" applyBorder="1" applyAlignment="1">
      <alignment horizontal="center" vertical="center"/>
    </xf>
    <xf numFmtId="0" fontId="19" fillId="5" borderId="1" xfId="15" applyFont="1" applyFill="1" applyBorder="1" applyAlignment="1">
      <alignment horizontal="left" vertical="center"/>
    </xf>
    <xf numFmtId="178" fontId="65" fillId="0" borderId="1" xfId="34" applyNumberFormat="1" applyFont="1" applyBorder="1" applyAlignment="1">
      <alignment horizontal="left" vertical="center"/>
    </xf>
    <xf numFmtId="0" fontId="65" fillId="0" borderId="1" xfId="34" applyFont="1" applyBorder="1" applyAlignment="1">
      <alignment horizontal="left" vertical="center"/>
    </xf>
    <xf numFmtId="0" fontId="67" fillId="0" borderId="1" xfId="34" applyFont="1" applyBorder="1" applyAlignment="1">
      <alignment horizontal="center" vertical="center" wrapText="1"/>
    </xf>
    <xf numFmtId="0" fontId="66" fillId="11" borderId="9" xfId="0" applyFont="1" applyFill="1" applyBorder="1">
      <alignment vertical="center"/>
    </xf>
    <xf numFmtId="0" fontId="66" fillId="11" borderId="46" xfId="0" applyFont="1" applyFill="1" applyBorder="1">
      <alignment vertical="center"/>
    </xf>
    <xf numFmtId="0" fontId="66" fillId="11" borderId="46" xfId="0" applyFont="1" applyFill="1" applyBorder="1" applyAlignment="1">
      <alignment horizontal="center" vertical="center"/>
    </xf>
    <xf numFmtId="0" fontId="63" fillId="11" borderId="46" xfId="0" applyFont="1" applyFill="1" applyBorder="1">
      <alignment vertical="center"/>
    </xf>
    <xf numFmtId="0" fontId="66" fillId="11" borderId="56" xfId="0" applyFont="1" applyFill="1" applyBorder="1" applyAlignment="1">
      <alignment horizontal="right" vertical="center"/>
    </xf>
    <xf numFmtId="0" fontId="39" fillId="3" borderId="71" xfId="37" quotePrefix="1" applyFont="1" applyFill="1" applyBorder="1" applyAlignment="1">
      <alignment horizontal="center" vertical="center" wrapText="1"/>
    </xf>
    <xf numFmtId="3" fontId="37" fillId="0" borderId="8" xfId="34" applyNumberFormat="1" applyFont="1" applyBorder="1" applyAlignment="1">
      <alignment horizontal="center" vertical="center"/>
    </xf>
    <xf numFmtId="3" fontId="37" fillId="0" borderId="9" xfId="34" applyNumberFormat="1" applyFont="1" applyBorder="1" applyAlignment="1">
      <alignment horizontal="center" vertical="center"/>
    </xf>
    <xf numFmtId="0" fontId="48" fillId="4" borderId="25" xfId="34" applyFont="1" applyFill="1" applyBorder="1" applyAlignment="1">
      <alignment horizontal="center" vertical="center" wrapText="1"/>
    </xf>
    <xf numFmtId="0" fontId="48" fillId="4" borderId="24" xfId="34" applyFont="1" applyFill="1" applyBorder="1" applyAlignment="1">
      <alignment horizontal="center" vertical="center" wrapText="1"/>
    </xf>
    <xf numFmtId="0" fontId="48" fillId="4" borderId="4" xfId="34" applyFont="1" applyFill="1" applyBorder="1" applyAlignment="1">
      <alignment horizontal="center" vertical="center"/>
    </xf>
    <xf numFmtId="38" fontId="33" fillId="8" borderId="34" xfId="3" applyNumberFormat="1" applyFont="1" applyFill="1" applyBorder="1" applyAlignment="1">
      <alignment horizontal="right" vertical="center"/>
    </xf>
    <xf numFmtId="38" fontId="33" fillId="8" borderId="33" xfId="3" applyNumberFormat="1" applyFont="1" applyFill="1" applyBorder="1" applyAlignment="1">
      <alignment horizontal="right" vertical="center"/>
    </xf>
    <xf numFmtId="41" fontId="34" fillId="6" borderId="16" xfId="3" applyFont="1" applyFill="1" applyBorder="1" applyAlignment="1">
      <alignment horizontal="center" vertical="center"/>
    </xf>
    <xf numFmtId="185" fontId="34" fillId="6" borderId="17" xfId="36" applyNumberFormat="1" applyFont="1" applyFill="1" applyBorder="1" applyAlignment="1">
      <alignment horizontal="center" vertical="center"/>
    </xf>
    <xf numFmtId="185" fontId="34" fillId="6" borderId="15" xfId="36" applyNumberFormat="1" applyFont="1" applyFill="1" applyBorder="1" applyAlignment="1">
      <alignment horizontal="center" vertical="center"/>
    </xf>
    <xf numFmtId="49" fontId="33" fillId="6" borderId="16" xfId="15" quotePrefix="1" applyNumberFormat="1" applyFont="1" applyFill="1" applyBorder="1" applyAlignment="1">
      <alignment horizontal="center" vertical="center"/>
    </xf>
    <xf numFmtId="49" fontId="33" fillId="6" borderId="15" xfId="15" quotePrefix="1" applyNumberFormat="1" applyFont="1" applyFill="1" applyBorder="1" applyAlignment="1">
      <alignment horizontal="center" vertical="center"/>
    </xf>
    <xf numFmtId="38" fontId="33" fillId="3" borderId="10" xfId="3" applyNumberFormat="1" applyFont="1" applyFill="1" applyBorder="1" applyAlignment="1">
      <alignment horizontal="center" vertical="center"/>
    </xf>
    <xf numFmtId="181" fontId="33" fillId="7" borderId="19" xfId="15" applyNumberFormat="1" applyFont="1" applyFill="1" applyBorder="1" applyAlignment="1">
      <alignment horizontal="center" vertical="center"/>
    </xf>
    <xf numFmtId="0" fontId="33" fillId="5" borderId="7" xfId="15" applyFont="1" applyFill="1" applyBorder="1" applyAlignment="1">
      <alignment vertical="center" wrapText="1"/>
    </xf>
    <xf numFmtId="41" fontId="44" fillId="5" borderId="0" xfId="15" applyNumberFormat="1" applyFont="1" applyFill="1" applyAlignment="1">
      <alignment vertical="center"/>
    </xf>
    <xf numFmtId="41" fontId="33" fillId="6" borderId="23" xfId="3" applyFont="1" applyFill="1" applyBorder="1" applyAlignment="1">
      <alignment vertical="center"/>
    </xf>
    <xf numFmtId="3" fontId="34" fillId="6" borderId="1" xfId="15" quotePrefix="1" applyNumberFormat="1" applyFont="1" applyFill="1" applyBorder="1" applyAlignment="1">
      <alignment vertical="center"/>
    </xf>
    <xf numFmtId="9" fontId="34" fillId="6" borderId="1" xfId="41" applyNumberFormat="1" applyFont="1" applyFill="1" applyBorder="1" applyAlignment="1">
      <alignment vertical="center"/>
    </xf>
    <xf numFmtId="0" fontId="25" fillId="5" borderId="9" xfId="15" applyFont="1" applyFill="1" applyBorder="1" applyAlignment="1">
      <alignment horizontal="centerContinuous" vertical="center"/>
    </xf>
    <xf numFmtId="0" fontId="25" fillId="5" borderId="8" xfId="15" applyFont="1" applyFill="1" applyBorder="1" applyAlignment="1">
      <alignment horizontal="center" vertical="center"/>
    </xf>
    <xf numFmtId="0" fontId="25" fillId="5" borderId="9" xfId="15" applyFont="1" applyFill="1" applyBorder="1" applyAlignment="1">
      <alignment horizontal="center" vertical="center"/>
    </xf>
    <xf numFmtId="49" fontId="25" fillId="0" borderId="11" xfId="15" applyNumberFormat="1" applyFont="1" applyBorder="1" applyAlignment="1">
      <alignment horizontal="right" vertical="center" wrapText="1"/>
    </xf>
    <xf numFmtId="180" fontId="40" fillId="0" borderId="23" xfId="37" applyNumberFormat="1" applyFont="1" applyFill="1" applyBorder="1" applyAlignment="1">
      <alignment horizontal="center" vertical="center"/>
    </xf>
    <xf numFmtId="0" fontId="38" fillId="0" borderId="74" xfId="15" applyFont="1" applyFill="1" applyBorder="1" applyAlignment="1">
      <alignment horizontal="left" vertical="center" wrapText="1"/>
    </xf>
    <xf numFmtId="0" fontId="38" fillId="0" borderId="8" xfId="15" applyFont="1" applyFill="1" applyBorder="1" applyAlignment="1">
      <alignment horizontal="left" vertical="center" wrapText="1"/>
    </xf>
    <xf numFmtId="3" fontId="38" fillId="0" borderId="1" xfId="15" applyNumberFormat="1" applyFont="1" applyFill="1" applyBorder="1" applyAlignment="1">
      <alignment vertical="center" wrapText="1"/>
    </xf>
    <xf numFmtId="3" fontId="37" fillId="0" borderId="1" xfId="34" applyNumberFormat="1" applyFont="1" applyFill="1" applyBorder="1" applyAlignment="1">
      <alignment horizontal="center" vertical="center"/>
    </xf>
    <xf numFmtId="3" fontId="37" fillId="0" borderId="1" xfId="34" applyNumberFormat="1" applyFont="1" applyFill="1" applyBorder="1" applyAlignment="1">
      <alignment horizontal="center" vertical="center"/>
    </xf>
    <xf numFmtId="3" fontId="37" fillId="0" borderId="9" xfId="34" applyNumberFormat="1" applyFont="1" applyFill="1" applyBorder="1" applyAlignment="1">
      <alignment horizontal="center" vertical="center"/>
    </xf>
    <xf numFmtId="3" fontId="37" fillId="0" borderId="8" xfId="34" applyNumberFormat="1" applyFont="1" applyFill="1" applyBorder="1" applyAlignment="1">
      <alignment horizontal="center" vertical="center"/>
    </xf>
    <xf numFmtId="0" fontId="45" fillId="0" borderId="23" xfId="38" quotePrefix="1" applyFont="1" applyFill="1" applyBorder="1" applyAlignment="1">
      <alignment horizontal="left" vertical="center" wrapText="1"/>
    </xf>
    <xf numFmtId="38" fontId="44" fillId="0" borderId="23" xfId="15" applyNumberFormat="1" applyFont="1" applyFill="1" applyBorder="1" applyAlignment="1">
      <alignment vertical="center"/>
    </xf>
    <xf numFmtId="0" fontId="25" fillId="0" borderId="23" xfId="15" applyFont="1" applyFill="1" applyBorder="1" applyAlignment="1">
      <alignment horizontal="right" vertical="center"/>
    </xf>
    <xf numFmtId="3" fontId="37" fillId="13" borderId="9" xfId="34" applyNumberFormat="1" applyFont="1" applyFill="1" applyBorder="1" applyAlignment="1">
      <alignment horizontal="center" vertical="center"/>
    </xf>
    <xf numFmtId="3" fontId="37" fillId="13" borderId="8" xfId="34" applyNumberFormat="1" applyFont="1" applyFill="1" applyBorder="1" applyAlignment="1">
      <alignment horizontal="center" vertical="center"/>
    </xf>
    <xf numFmtId="185" fontId="34" fillId="6" borderId="1" xfId="41" applyNumberFormat="1" applyFont="1" applyFill="1" applyBorder="1" applyAlignment="1">
      <alignment vertical="center"/>
    </xf>
  </cellXfs>
  <cellStyles count="64">
    <cellStyle name="Excel Built-in Normal" xfId="33" xr:uid="{144C6055-2336-4133-A34B-2C697A3B7698}"/>
    <cellStyle name="Excel Built-in Normal 3" xfId="34" xr:uid="{ED79589D-1054-4C8D-84CF-314FFE01E0DD}"/>
    <cellStyle name="백분율 2" xfId="1" xr:uid="{00000000-0005-0000-0000-000000000000}"/>
    <cellStyle name="백분율 3" xfId="17" xr:uid="{00000000-0005-0000-0000-000001000000}"/>
    <cellStyle name="백분율 4" xfId="20" xr:uid="{00000000-0005-0000-0000-000002000000}"/>
    <cellStyle name="백분율 4 2" xfId="50" xr:uid="{62D2895A-0BCE-4073-8D41-74CFB5B71CA8}"/>
    <cellStyle name="백분율 5" xfId="24" xr:uid="{00000000-0005-0000-0000-000003000000}"/>
    <cellStyle name="백분율 5 2" xfId="54" xr:uid="{189785B2-856F-4EA6-91CB-44071A8888EB}"/>
    <cellStyle name="백분율 6" xfId="27" xr:uid="{00000000-0005-0000-0000-000004000000}"/>
    <cellStyle name="백분율 6 2" xfId="57" xr:uid="{F21C41CF-57EE-4579-9374-FEEF817AB1A1}"/>
    <cellStyle name="쉼표 [0] 10" xfId="16" xr:uid="{00000000-0005-0000-0000-000006000000}"/>
    <cellStyle name="쉼표 [0] 10 2" xfId="47" xr:uid="{45197CCC-DE95-407F-BFEC-A34A7A20D717}"/>
    <cellStyle name="쉼표 [0] 18" xfId="2" xr:uid="{00000000-0005-0000-0000-000007000000}"/>
    <cellStyle name="쉼표 [0] 18 2" xfId="40" xr:uid="{675C9D84-CD12-4FF9-9D2B-76F9D5F94AB4}"/>
    <cellStyle name="쉼표 [0] 2" xfId="3" xr:uid="{00000000-0005-0000-0000-000008000000}"/>
    <cellStyle name="쉼표 [0] 2 2" xfId="4" xr:uid="{00000000-0005-0000-0000-000009000000}"/>
    <cellStyle name="쉼표 [0] 2 2 2" xfId="42" xr:uid="{B749CAE1-DC32-4E4E-83A2-ED9FB3597BC1}"/>
    <cellStyle name="쉼표 [0] 2 3" xfId="41" xr:uid="{20DF0ECE-91F4-479E-9E38-F15966CF48E4}"/>
    <cellStyle name="쉼표 [0] 20" xfId="5" xr:uid="{00000000-0005-0000-0000-00000A000000}"/>
    <cellStyle name="쉼표 [0] 20 2" xfId="43" xr:uid="{BAF86816-4A33-481E-A1C8-C2F6569DBD23}"/>
    <cellStyle name="쉼표 [0] 3" xfId="19" xr:uid="{00000000-0005-0000-0000-00000B000000}"/>
    <cellStyle name="쉼표 [0] 3 2" xfId="6" xr:uid="{00000000-0005-0000-0000-00000C000000}"/>
    <cellStyle name="쉼표 [0] 3 2 2" xfId="7" xr:uid="{00000000-0005-0000-0000-00000D000000}"/>
    <cellStyle name="쉼표 [0] 3 2 2 2" xfId="45" xr:uid="{A922CD10-7443-4905-8E40-483CC654C3DF}"/>
    <cellStyle name="쉼표 [0] 3 2 3" xfId="44" xr:uid="{AEF601B9-C42F-4A66-A550-5DC7A80A0AA5}"/>
    <cellStyle name="쉼표 [0] 3 3" xfId="49" xr:uid="{E49E9A83-7A55-42A3-B95D-EA5B890E0F28}"/>
    <cellStyle name="쉼표 [0] 4" xfId="23" xr:uid="{00000000-0005-0000-0000-00000E000000}"/>
    <cellStyle name="쉼표 [0] 4 2" xfId="53" xr:uid="{663CF4CF-D3E6-4F89-882E-FD50E3FCA759}"/>
    <cellStyle name="쉼표 [0] 5" xfId="8" xr:uid="{00000000-0005-0000-0000-00000F000000}"/>
    <cellStyle name="쉼표 [0] 5 2" xfId="46" xr:uid="{EFF38D87-F0B1-4AA9-A991-A5AD16A61F68}"/>
    <cellStyle name="쉼표 [0] 6" xfId="26" xr:uid="{00000000-0005-0000-0000-000010000000}"/>
    <cellStyle name="쉼표 [0] 6 2" xfId="56" xr:uid="{FAFC3299-13AF-4F9D-836E-BDD3DECABF2F}"/>
    <cellStyle name="쉼표 [0] 7" xfId="30" xr:uid="{00000000-0005-0000-0000-000011000000}"/>
    <cellStyle name="쉼표 [0] 7 2" xfId="60" xr:uid="{7F47DFA4-5FA8-4C6B-89F3-5B25F13E1658}"/>
    <cellStyle name="쉼표 [0] 8" xfId="32" xr:uid="{00000000-0005-0000-0000-000012000000}"/>
    <cellStyle name="쉼표 [0] 8 2" xfId="62" xr:uid="{24315EBD-F1FD-4DBD-A56C-26B4D07C7402}"/>
    <cellStyle name="표준" xfId="0" builtinId="0"/>
    <cellStyle name="표준 10" xfId="31" xr:uid="{00000000-0005-0000-0000-000014000000}"/>
    <cellStyle name="표준 10 2" xfId="61" xr:uid="{A63F708C-EEA1-4F6B-BC45-74E0040C1F99}"/>
    <cellStyle name="표준 108" xfId="9" xr:uid="{00000000-0005-0000-0000-000015000000}"/>
    <cellStyle name="표준 109" xfId="10" xr:uid="{00000000-0005-0000-0000-000016000000}"/>
    <cellStyle name="표준 115" xfId="11" xr:uid="{00000000-0005-0000-0000-000017000000}"/>
    <cellStyle name="표준 2" xfId="12" xr:uid="{00000000-0005-0000-0000-000018000000}"/>
    <cellStyle name="표준 2 2" xfId="39" xr:uid="{15C908FA-5999-4954-BF18-FF1F198A1EC3}"/>
    <cellStyle name="표준 3" xfId="13" xr:uid="{00000000-0005-0000-0000-000019000000}"/>
    <cellStyle name="표준 3 69" xfId="14" xr:uid="{00000000-0005-0000-0000-00001A000000}"/>
    <cellStyle name="표준 4" xfId="18" xr:uid="{00000000-0005-0000-0000-00001B000000}"/>
    <cellStyle name="표준 4 2" xfId="48" xr:uid="{A5F089AD-1774-43FD-B393-05BC2387062B}"/>
    <cellStyle name="표준 44 2 2" xfId="37" xr:uid="{DCA0D944-33F0-4BF2-B74F-3930700A2A9F}"/>
    <cellStyle name="표준 44 2 2 2" xfId="63" xr:uid="{8803ED7D-A817-4613-9E2A-E2B9B784874D}"/>
    <cellStyle name="표준 5" xfId="15" xr:uid="{00000000-0005-0000-0000-00001C000000}"/>
    <cellStyle name="표준 6" xfId="21" xr:uid="{00000000-0005-0000-0000-00001D000000}"/>
    <cellStyle name="표준 6 2" xfId="51" xr:uid="{E8373A18-A63F-4A83-9877-BD4115EB4107}"/>
    <cellStyle name="표준 7" xfId="22" xr:uid="{00000000-0005-0000-0000-00001E000000}"/>
    <cellStyle name="표준 7 2" xfId="52" xr:uid="{AFF59ADD-4A14-4F20-A2BC-3399F3586958}"/>
    <cellStyle name="표준 8" xfId="25" xr:uid="{00000000-0005-0000-0000-00001F000000}"/>
    <cellStyle name="표준 8 2" xfId="28" xr:uid="{00000000-0005-0000-0000-000020000000}"/>
    <cellStyle name="표준 8 2 2" xfId="58" xr:uid="{16B36372-F067-4E35-8799-E43573F28094}"/>
    <cellStyle name="표준 8 3" xfId="55" xr:uid="{DA1B3662-472C-4BF0-8A5A-DA3B49A3EDE9}"/>
    <cellStyle name="표준 9" xfId="29" xr:uid="{00000000-0005-0000-0000-000021000000}"/>
    <cellStyle name="표준 9 2" xfId="59" xr:uid="{9674592F-3AB8-4DC1-BF10-BD4F26708BE6}"/>
    <cellStyle name="표준_1106-001 인지컨트롤스 x3850" xfId="36" xr:uid="{C1938C93-64AA-4427-871D-801A04AB5F49}"/>
    <cellStyle name="표준_650(630)견적서(1020)" xfId="38" xr:uid="{4AB6AE74-DA37-4E1D-9843-E9A638CF3B5C}"/>
    <cellStyle name="하이퍼링크 2" xfId="35" xr:uid="{357BFCCB-59AF-40C6-BF28-0E39BC6F84AC}"/>
  </cellStyles>
  <dxfs count="0"/>
  <tableStyles count="0" defaultTableStyle="TableStyleMedium2" defaultPivotStyle="PivotStyleLight16"/>
  <colors>
    <mruColors>
      <color rgb="FFFF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368862</xdr:colOff>
      <xdr:row>52</xdr:row>
      <xdr:rowOff>98213</xdr:rowOff>
    </xdr:from>
    <xdr:ext cx="598092" cy="602876"/>
    <xdr:pic>
      <xdr:nvPicPr>
        <xdr:cNvPr id="2" name="그림 1">
          <a:extLst>
            <a:ext uri="{FF2B5EF4-FFF2-40B4-BE49-F238E27FC236}">
              <a16:creationId xmlns:a16="http://schemas.microsoft.com/office/drawing/2014/main" id="{56E72261-457D-479E-9FA4-9DAB185F0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8862" y="9356513"/>
          <a:ext cx="598092" cy="602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CB6F-6445-4344-9275-D6D5A46BA89F}">
  <sheetPr>
    <pageSetUpPr fitToPage="1"/>
  </sheetPr>
  <dimension ref="B1:Q59"/>
  <sheetViews>
    <sheetView showGridLines="0" tabSelected="1" view="pageBreakPreview" topLeftCell="A2" zoomScaleNormal="100" zoomScaleSheetLayoutView="100" workbookViewId="0">
      <selection activeCell="M23" sqref="M23"/>
    </sheetView>
  </sheetViews>
  <sheetFormatPr defaultColWidth="8.88671875" defaultRowHeight="14.25"/>
  <cols>
    <col min="1" max="1" width="2.109375" style="30" customWidth="1"/>
    <col min="2" max="2" width="11.21875" style="34" customWidth="1"/>
    <col min="3" max="3" width="18" style="33" customWidth="1"/>
    <col min="4" max="4" width="11.21875" style="33" bestFit="1" customWidth="1"/>
    <col min="5" max="5" width="13.77734375" style="33" bestFit="1" customWidth="1"/>
    <col min="6" max="6" width="6.44140625" style="30" bestFit="1" customWidth="1"/>
    <col min="7" max="7" width="10.44140625" style="32" customWidth="1"/>
    <col min="8" max="8" width="8.33203125" style="32" bestFit="1" customWidth="1"/>
    <col min="9" max="9" width="8.88671875" style="32" customWidth="1"/>
    <col min="10" max="10" width="10.88671875" style="32" customWidth="1"/>
    <col min="11" max="11" width="12.21875" style="31" customWidth="1"/>
    <col min="12" max="12" width="2.21875" style="30" customWidth="1"/>
    <col min="13" max="13" width="9" style="30" customWidth="1"/>
    <col min="14" max="14" width="8.88671875" style="30"/>
    <col min="15" max="15" width="11.33203125" style="30" bestFit="1" customWidth="1"/>
    <col min="16" max="16" width="12.33203125" style="30" bestFit="1" customWidth="1"/>
    <col min="17" max="16384" width="8.88671875" style="30"/>
  </cols>
  <sheetData>
    <row r="1" spans="2:13" s="2" customFormat="1" ht="30" customHeight="1" thickBot="1">
      <c r="B1" s="174" t="s">
        <v>42</v>
      </c>
      <c r="C1" s="175"/>
      <c r="D1" s="175"/>
      <c r="E1" s="175"/>
      <c r="F1" s="175"/>
      <c r="G1" s="175"/>
      <c r="H1" s="175"/>
      <c r="I1" s="70"/>
      <c r="J1" s="70"/>
      <c r="L1" s="48"/>
      <c r="M1" s="57"/>
    </row>
    <row r="2" spans="2:13" s="2" customFormat="1" ht="18" customHeight="1">
      <c r="B2" s="3" t="s">
        <v>43</v>
      </c>
      <c r="C2" s="4"/>
      <c r="D2" s="4"/>
      <c r="E2" s="4"/>
      <c r="F2" s="4"/>
      <c r="G2" s="4"/>
      <c r="H2" s="4"/>
      <c r="I2" s="4"/>
      <c r="J2" s="4"/>
      <c r="K2" s="4"/>
      <c r="L2" s="58"/>
      <c r="M2" s="58"/>
    </row>
    <row r="3" spans="2:13" s="2" customFormat="1" ht="6.75" customHeight="1">
      <c r="B3" s="5"/>
      <c r="C3" s="6"/>
      <c r="D3" s="6"/>
      <c r="E3" s="6"/>
      <c r="F3" s="6"/>
      <c r="G3" s="6"/>
      <c r="H3" s="6"/>
      <c r="I3" s="6"/>
      <c r="J3" s="6"/>
      <c r="L3" s="58"/>
      <c r="M3" s="58"/>
    </row>
    <row r="4" spans="2:13" s="2" customFormat="1" ht="35.1" customHeight="1">
      <c r="B4" s="176" t="s">
        <v>1</v>
      </c>
      <c r="C4" s="176"/>
      <c r="D4" s="176"/>
      <c r="E4" s="176"/>
      <c r="F4" s="176"/>
      <c r="G4" s="176"/>
      <c r="H4" s="176"/>
      <c r="I4" s="176"/>
      <c r="J4" s="176"/>
      <c r="K4" s="176"/>
      <c r="L4" s="48"/>
      <c r="M4" s="57"/>
    </row>
    <row r="5" spans="2:13" s="9" customFormat="1" ht="8.25" customHeight="1">
      <c r="B5" s="7"/>
      <c r="C5" s="8"/>
      <c r="D5" s="8"/>
      <c r="E5" s="8"/>
      <c r="F5" s="8"/>
      <c r="G5" s="8"/>
      <c r="H5" s="8"/>
      <c r="I5" s="8"/>
      <c r="J5" s="8"/>
      <c r="L5" s="52"/>
      <c r="M5" s="52"/>
    </row>
    <row r="6" spans="2:13" s="9" customFormat="1" ht="15" customHeight="1">
      <c r="B6" s="268" t="s">
        <v>152</v>
      </c>
      <c r="C6" s="268"/>
      <c r="D6" s="268"/>
      <c r="E6" s="56"/>
      <c r="F6" s="55"/>
      <c r="G6" s="55"/>
      <c r="H6" s="51" t="s">
        <v>36</v>
      </c>
      <c r="I6" s="265"/>
      <c r="J6" s="158" t="s">
        <v>114</v>
      </c>
      <c r="K6" s="159"/>
      <c r="L6" s="50"/>
      <c r="M6" s="52"/>
    </row>
    <row r="7" spans="2:13" s="9" customFormat="1" ht="15" customHeight="1">
      <c r="B7" s="235" t="s">
        <v>35</v>
      </c>
      <c r="C7" s="236" t="s">
        <v>117</v>
      </c>
      <c r="D7" s="236"/>
      <c r="E7" s="50"/>
      <c r="F7" s="55"/>
      <c r="G7" s="55"/>
      <c r="H7" s="51" t="s">
        <v>34</v>
      </c>
      <c r="I7" s="265"/>
      <c r="J7" s="160">
        <v>46079</v>
      </c>
      <c r="K7" s="161"/>
      <c r="L7" s="54"/>
      <c r="M7" s="52"/>
    </row>
    <row r="8" spans="2:13" s="9" customFormat="1" ht="15" customHeight="1">
      <c r="B8" s="235" t="s">
        <v>115</v>
      </c>
      <c r="C8" s="237" t="str">
        <f>"一金 사천삼백오십만원정 (" &amp; TEXT(D13, "#,##0") &amp; "원)"</f>
        <v>一金 사천삼백오십만원정 (43,500,000원)</v>
      </c>
      <c r="D8" s="238"/>
      <c r="E8" s="53"/>
      <c r="F8" s="8"/>
      <c r="G8" s="53"/>
      <c r="H8" s="267" t="s">
        <v>33</v>
      </c>
      <c r="I8" s="266"/>
      <c r="J8" s="158" t="s">
        <v>32</v>
      </c>
      <c r="K8" s="159"/>
      <c r="L8" s="50"/>
      <c r="M8" s="52"/>
    </row>
    <row r="9" spans="2:13" s="9" customFormat="1" ht="15" customHeight="1">
      <c r="B9" s="239" t="s">
        <v>116</v>
      </c>
      <c r="C9" s="238" t="s">
        <v>119</v>
      </c>
      <c r="D9" s="238"/>
      <c r="E9" s="53"/>
      <c r="F9" s="8"/>
      <c r="G9" s="53"/>
      <c r="H9" s="51" t="s">
        <v>31</v>
      </c>
      <c r="I9" s="265"/>
      <c r="J9" s="158" t="s">
        <v>30</v>
      </c>
      <c r="K9" s="159"/>
      <c r="L9" s="50"/>
      <c r="M9" s="52"/>
    </row>
    <row r="10" spans="2:13" s="9" customFormat="1" ht="15" customHeight="1">
      <c r="B10" s="53"/>
      <c r="C10" s="53"/>
      <c r="D10" s="53"/>
      <c r="E10" s="53"/>
      <c r="F10" s="8"/>
      <c r="G10" s="53"/>
      <c r="H10" s="51" t="s">
        <v>29</v>
      </c>
      <c r="I10" s="265"/>
      <c r="J10" s="158" t="s">
        <v>28</v>
      </c>
      <c r="K10" s="159"/>
      <c r="L10" s="50"/>
      <c r="M10" s="52"/>
    </row>
    <row r="11" spans="2:13" s="13" customFormat="1" ht="15" customHeight="1">
      <c r="B11" s="10" t="s">
        <v>2</v>
      </c>
      <c r="C11" s="11"/>
      <c r="D11" s="11"/>
      <c r="E11" s="11"/>
      <c r="F11" s="12"/>
      <c r="G11" s="11"/>
      <c r="H11" s="51" t="s">
        <v>27</v>
      </c>
      <c r="I11" s="265"/>
      <c r="J11" s="158" t="s">
        <v>118</v>
      </c>
      <c r="K11" s="159"/>
      <c r="L11" s="50"/>
      <c r="M11" s="49"/>
    </row>
    <row r="12" spans="2:13" s="13" customFormat="1" ht="12.75" customHeight="1">
      <c r="B12" s="48"/>
      <c r="C12" s="48"/>
      <c r="D12" s="48"/>
      <c r="E12" s="48"/>
      <c r="F12" s="47"/>
      <c r="G12" s="46"/>
      <c r="H12" s="46"/>
      <c r="I12" s="46"/>
      <c r="J12" s="46"/>
      <c r="L12" s="45"/>
      <c r="M12" s="44"/>
    </row>
    <row r="13" spans="2:13" s="13" customFormat="1" ht="21" customHeight="1">
      <c r="B13" s="14" t="s">
        <v>3</v>
      </c>
      <c r="C13" s="15"/>
      <c r="D13" s="16">
        <f>I25</f>
        <v>43500000</v>
      </c>
      <c r="E13" s="61"/>
      <c r="G13" s="17"/>
      <c r="H13" s="18"/>
      <c r="I13" s="18"/>
      <c r="J13" s="18"/>
      <c r="L13" s="18"/>
      <c r="M13" s="43"/>
    </row>
    <row r="15" spans="2:13" s="21" customFormat="1" ht="15" customHeight="1" thickBot="1">
      <c r="B15" s="19"/>
      <c r="C15" s="20"/>
      <c r="D15" s="20"/>
      <c r="E15" s="20"/>
      <c r="G15" s="22"/>
      <c r="H15" s="23"/>
      <c r="I15" s="23"/>
      <c r="J15" s="23"/>
      <c r="K15" s="24" t="s">
        <v>4</v>
      </c>
    </row>
    <row r="16" spans="2:13" s="38" customFormat="1" ht="19.350000000000001" customHeight="1">
      <c r="B16" s="25" t="s">
        <v>26</v>
      </c>
      <c r="C16" s="42" t="s">
        <v>151</v>
      </c>
      <c r="D16" s="69" t="s">
        <v>126</v>
      </c>
      <c r="E16" s="69" t="s">
        <v>44</v>
      </c>
      <c r="F16" s="41" t="s">
        <v>25</v>
      </c>
      <c r="G16" s="40" t="s">
        <v>18</v>
      </c>
      <c r="H16" s="83" t="s">
        <v>154</v>
      </c>
      <c r="I16" s="83" t="s">
        <v>150</v>
      </c>
      <c r="J16" s="83" t="s">
        <v>62</v>
      </c>
      <c r="K16" s="129" t="s">
        <v>24</v>
      </c>
    </row>
    <row r="17" spans="2:17" ht="29.25" customHeight="1">
      <c r="B17" s="147" t="str">
        <f>'1. 투입공수'!B7</f>
        <v>VAN ITC 시스템
개발</v>
      </c>
      <c r="C17" s="263" t="str">
        <f>B33</f>
        <v>5. IT 프로젝트 관리자</v>
      </c>
      <c r="D17" s="68" t="str">
        <f>'1. 투입공수'!D7</f>
        <v>고급</v>
      </c>
      <c r="E17" s="68" t="str">
        <f>'1. 투입공수'!U7</f>
        <v>PM/AA/산출물/개발</v>
      </c>
      <c r="F17" s="65">
        <f>'1. 투입공수'!T8</f>
        <v>3</v>
      </c>
      <c r="G17" s="66">
        <f>I33</f>
        <v>18156247.199999999</v>
      </c>
      <c r="H17" s="264">
        <v>1</v>
      </c>
      <c r="I17" s="282">
        <v>0.2</v>
      </c>
      <c r="J17" s="67">
        <f>ROUNDDOWN(G17*H17-(G17*H17*I17),-3)</f>
        <v>14524000</v>
      </c>
      <c r="K17" s="262">
        <f>J17*F17</f>
        <v>43572000</v>
      </c>
      <c r="L17" s="38"/>
      <c r="O17" s="261"/>
      <c r="Q17" s="38"/>
    </row>
    <row r="18" spans="2:17" ht="19.5" customHeight="1" thickBot="1">
      <c r="B18" s="260"/>
      <c r="C18" s="162" t="s">
        <v>19</v>
      </c>
      <c r="D18" s="162"/>
      <c r="E18" s="162"/>
      <c r="F18" s="259">
        <f>SUM(F17:F17)</f>
        <v>3</v>
      </c>
      <c r="G18" s="84">
        <f>AVERAGE(G17:G17)</f>
        <v>18156247.199999999</v>
      </c>
      <c r="H18" s="85">
        <f>AVERAGE(H17:H17)</f>
        <v>1</v>
      </c>
      <c r="I18" s="85">
        <f>AVERAGE(I17:I17)</f>
        <v>0.2</v>
      </c>
      <c r="J18" s="86">
        <f>AVERAGE(J17:J17)</f>
        <v>14524000</v>
      </c>
      <c r="K18" s="130">
        <f>SUM(K17:K17)</f>
        <v>43572000</v>
      </c>
      <c r="L18" s="38"/>
    </row>
    <row r="19" spans="2:17" s="36" customFormat="1" ht="7.5" customHeight="1">
      <c r="B19" s="26"/>
      <c r="C19" s="26"/>
      <c r="D19" s="26"/>
      <c r="E19" s="26"/>
      <c r="F19" s="26"/>
      <c r="G19" s="26"/>
      <c r="H19" s="26"/>
      <c r="I19" s="26"/>
      <c r="J19" s="26"/>
      <c r="K19" s="26"/>
      <c r="M19" s="30"/>
    </row>
    <row r="20" spans="2:17" s="36" customFormat="1" ht="7.5" customHeight="1" thickBot="1">
      <c r="B20" s="26"/>
      <c r="C20" s="26"/>
      <c r="D20" s="26"/>
      <c r="E20" s="26"/>
      <c r="F20" s="26"/>
      <c r="G20" s="26"/>
      <c r="H20" s="26"/>
      <c r="I20" s="26"/>
      <c r="J20" s="26"/>
      <c r="K20" s="26"/>
      <c r="M20" s="30"/>
    </row>
    <row r="21" spans="2:17" s="36" customFormat="1" ht="14.45" customHeight="1">
      <c r="B21" s="25" t="s">
        <v>0</v>
      </c>
      <c r="C21" s="186" t="s">
        <v>5</v>
      </c>
      <c r="D21" s="187"/>
      <c r="E21" s="187"/>
      <c r="F21" s="177" t="s">
        <v>38</v>
      </c>
      <c r="G21" s="178"/>
      <c r="H21" s="163" t="s">
        <v>37</v>
      </c>
      <c r="I21" s="258"/>
      <c r="J21" s="164"/>
      <c r="K21" s="39" t="s">
        <v>23</v>
      </c>
      <c r="M21" s="30"/>
    </row>
    <row r="22" spans="2:17" s="36" customFormat="1" ht="15" customHeight="1" thickBot="1">
      <c r="B22" s="148" t="s">
        <v>39</v>
      </c>
      <c r="C22" s="257"/>
      <c r="D22" s="256"/>
      <c r="E22" s="256"/>
      <c r="F22" s="255"/>
      <c r="G22" s="254"/>
      <c r="H22" s="165">
        <f>K18*F22</f>
        <v>0</v>
      </c>
      <c r="I22" s="253"/>
      <c r="J22" s="166"/>
      <c r="K22" s="59"/>
      <c r="M22" s="30"/>
    </row>
    <row r="23" spans="2:17" s="36" customFormat="1" ht="7.35" customHeight="1">
      <c r="B23" s="26"/>
      <c r="C23" s="26"/>
      <c r="D23" s="26"/>
      <c r="E23" s="26"/>
      <c r="F23" s="26"/>
      <c r="G23" s="26"/>
      <c r="H23" s="26"/>
      <c r="I23" s="26"/>
      <c r="J23" s="26"/>
      <c r="K23" s="26"/>
      <c r="M23" s="30"/>
    </row>
    <row r="24" spans="2:17" s="36" customFormat="1" ht="7.5" customHeight="1" thickBot="1">
      <c r="B24" s="26"/>
      <c r="C24" s="26"/>
      <c r="D24" s="26"/>
      <c r="E24" s="26"/>
      <c r="F24" s="26"/>
      <c r="G24" s="26"/>
      <c r="H24" s="26"/>
      <c r="I24" s="26"/>
      <c r="J24" s="26"/>
      <c r="K24" s="26"/>
      <c r="M24" s="30"/>
    </row>
    <row r="25" spans="2:17" ht="20.100000000000001" customHeight="1" thickBot="1">
      <c r="B25" s="167" t="s">
        <v>6</v>
      </c>
      <c r="C25" s="168"/>
      <c r="D25" s="168"/>
      <c r="E25" s="168"/>
      <c r="F25" s="168"/>
      <c r="G25" s="168"/>
      <c r="H25" s="169"/>
      <c r="I25" s="252">
        <f>ROUNDDOWN(K18-H22,-5)</f>
        <v>43500000</v>
      </c>
      <c r="J25" s="251"/>
      <c r="K25" s="60" t="s">
        <v>40</v>
      </c>
      <c r="L25" s="38"/>
    </row>
    <row r="26" spans="2:17" s="36" customFormat="1" ht="8.25" customHeight="1">
      <c r="B26" s="27"/>
      <c r="C26" s="27"/>
      <c r="D26" s="27"/>
      <c r="E26" s="27"/>
      <c r="F26" s="27"/>
      <c r="G26" s="27"/>
      <c r="H26" s="27"/>
      <c r="I26" s="27"/>
      <c r="J26" s="27"/>
      <c r="K26" s="27"/>
      <c r="M26" s="30"/>
    </row>
    <row r="27" spans="2:17" s="36" customFormat="1" ht="18" thickBot="1">
      <c r="B27" s="37"/>
      <c r="C27" s="37"/>
      <c r="D27" s="37"/>
      <c r="E27" s="37"/>
      <c r="F27" s="179"/>
      <c r="G27" s="179"/>
      <c r="H27" s="179"/>
      <c r="I27" s="71"/>
      <c r="J27" s="71"/>
      <c r="K27" s="37"/>
      <c r="L27" s="37"/>
      <c r="M27" s="37"/>
    </row>
    <row r="28" spans="2:17" s="36" customFormat="1" ht="16.5">
      <c r="B28" s="250" t="s">
        <v>149</v>
      </c>
      <c r="C28" s="188"/>
      <c r="D28" s="134" t="s">
        <v>7</v>
      </c>
      <c r="E28" s="134" t="s">
        <v>8</v>
      </c>
      <c r="F28" s="134" t="s">
        <v>9</v>
      </c>
      <c r="G28" s="188" t="s">
        <v>10</v>
      </c>
      <c r="H28" s="188"/>
      <c r="I28" s="249" t="s">
        <v>148</v>
      </c>
      <c r="J28" s="248"/>
      <c r="K28" s="143" t="s">
        <v>23</v>
      </c>
      <c r="L28" s="37"/>
      <c r="M28" s="37"/>
    </row>
    <row r="29" spans="2:17" s="36" customFormat="1" ht="12.6" customHeight="1">
      <c r="B29" s="155" t="s">
        <v>11</v>
      </c>
      <c r="C29" s="156"/>
      <c r="D29" s="139">
        <v>578206</v>
      </c>
      <c r="E29" s="139">
        <v>11853218</v>
      </c>
      <c r="F29" s="133">
        <f>E29*0.5</f>
        <v>5926609</v>
      </c>
      <c r="G29" s="157">
        <f>(E29+F29)*20%</f>
        <v>3555965.4000000004</v>
      </c>
      <c r="H29" s="157"/>
      <c r="I29" s="247">
        <f>SUM(E29:G29)</f>
        <v>21335792.399999999</v>
      </c>
      <c r="J29" s="246"/>
      <c r="K29" s="142"/>
      <c r="L29" s="37"/>
      <c r="M29" s="37"/>
    </row>
    <row r="30" spans="2:17" s="36" customFormat="1" ht="12.6" customHeight="1">
      <c r="B30" s="155" t="s">
        <v>12</v>
      </c>
      <c r="C30" s="156"/>
      <c r="D30" s="139">
        <v>522340</v>
      </c>
      <c r="E30" s="139">
        <v>10707960</v>
      </c>
      <c r="F30" s="133">
        <f>E30*0.5</f>
        <v>5353980</v>
      </c>
      <c r="G30" s="157">
        <f>(E30+F30)*20%</f>
        <v>3212388</v>
      </c>
      <c r="H30" s="157"/>
      <c r="I30" s="247">
        <f>SUM(E30:G30)</f>
        <v>19274328</v>
      </c>
      <c r="J30" s="246"/>
      <c r="K30" s="142"/>
      <c r="L30" s="37"/>
      <c r="M30" s="37"/>
    </row>
    <row r="31" spans="2:17" s="36" customFormat="1" ht="12.6" customHeight="1">
      <c r="B31" s="155" t="s">
        <v>147</v>
      </c>
      <c r="C31" s="156"/>
      <c r="D31" s="139">
        <v>475154</v>
      </c>
      <c r="E31" s="139">
        <v>9740667</v>
      </c>
      <c r="F31" s="133">
        <f>E31*0.5</f>
        <v>4870333.5</v>
      </c>
      <c r="G31" s="157">
        <f>(E31+F31)*20%</f>
        <v>2922200.1</v>
      </c>
      <c r="H31" s="157"/>
      <c r="I31" s="247">
        <f>SUM(E31:G31)</f>
        <v>17533200.600000001</v>
      </c>
      <c r="J31" s="246"/>
      <c r="K31" s="142"/>
      <c r="L31" s="37"/>
      <c r="M31" s="37"/>
    </row>
    <row r="32" spans="2:17" s="36" customFormat="1" ht="12.6" customHeight="1">
      <c r="B32" s="155" t="s">
        <v>146</v>
      </c>
      <c r="C32" s="156"/>
      <c r="D32" s="139">
        <v>414600</v>
      </c>
      <c r="E32" s="139">
        <v>8499309</v>
      </c>
      <c r="F32" s="133">
        <f>E32*0.5</f>
        <v>4249654.5</v>
      </c>
      <c r="G32" s="157">
        <f>(E32+F32)*20%</f>
        <v>2549792.7000000002</v>
      </c>
      <c r="H32" s="157"/>
      <c r="I32" s="247">
        <f>SUM(E32:G32)</f>
        <v>15298756.199999999</v>
      </c>
      <c r="J32" s="246"/>
      <c r="K32" s="141"/>
    </row>
    <row r="33" spans="2:11" s="36" customFormat="1" ht="12.6" customHeight="1">
      <c r="B33" s="189" t="s">
        <v>145</v>
      </c>
      <c r="C33" s="190"/>
      <c r="D33" s="149">
        <v>492039</v>
      </c>
      <c r="E33" s="149">
        <v>10086804</v>
      </c>
      <c r="F33" s="150">
        <f>E33*0.5</f>
        <v>5043402</v>
      </c>
      <c r="G33" s="170">
        <f>(E33+F33)*20%</f>
        <v>3026041.2</v>
      </c>
      <c r="H33" s="170"/>
      <c r="I33" s="280">
        <f>SUM(E33:G33)</f>
        <v>18156247.199999999</v>
      </c>
      <c r="J33" s="281"/>
      <c r="K33" s="151"/>
    </row>
    <row r="34" spans="2:11" s="36" customFormat="1" ht="12.6" customHeight="1">
      <c r="B34" s="270" t="s">
        <v>144</v>
      </c>
      <c r="C34" s="271"/>
      <c r="D34" s="272">
        <v>541621</v>
      </c>
      <c r="E34" s="272">
        <v>11103230</v>
      </c>
      <c r="F34" s="273">
        <f>E34*0.5</f>
        <v>5551615</v>
      </c>
      <c r="G34" s="274">
        <f>(E34+F34)*20%</f>
        <v>3330969</v>
      </c>
      <c r="H34" s="274"/>
      <c r="I34" s="275">
        <f>SUM(E34:G34)</f>
        <v>19985814</v>
      </c>
      <c r="J34" s="276"/>
      <c r="K34" s="277"/>
    </row>
    <row r="35" spans="2:11" ht="12.6" customHeight="1">
      <c r="B35" s="270" t="s">
        <v>143</v>
      </c>
      <c r="C35" s="271"/>
      <c r="D35" s="272">
        <v>336666</v>
      </c>
      <c r="E35" s="272">
        <v>6901660</v>
      </c>
      <c r="F35" s="273">
        <f>E35*0.5</f>
        <v>3450830</v>
      </c>
      <c r="G35" s="274">
        <f>(E35+F35)*20%</f>
        <v>2070498</v>
      </c>
      <c r="H35" s="274"/>
      <c r="I35" s="275">
        <f>SUM(E35:G35)</f>
        <v>12422988</v>
      </c>
      <c r="J35" s="276"/>
      <c r="K35" s="278"/>
    </row>
    <row r="36" spans="2:11" ht="12.6" customHeight="1">
      <c r="B36" s="270" t="s">
        <v>142</v>
      </c>
      <c r="C36" s="271"/>
      <c r="D36" s="272">
        <v>251671</v>
      </c>
      <c r="E36" s="272">
        <v>5159246</v>
      </c>
      <c r="F36" s="273">
        <f>E36*0.5</f>
        <v>2579623</v>
      </c>
      <c r="G36" s="274">
        <f>(E36+F36)*20%</f>
        <v>1547773.8</v>
      </c>
      <c r="H36" s="274"/>
      <c r="I36" s="275">
        <f>SUM(E36:G36)</f>
        <v>9286642.8000000007</v>
      </c>
      <c r="J36" s="276"/>
      <c r="K36" s="279"/>
    </row>
    <row r="37" spans="2:11" ht="12.6" customHeight="1">
      <c r="B37" s="270" t="s">
        <v>141</v>
      </c>
      <c r="C37" s="271"/>
      <c r="D37" s="272">
        <v>378250</v>
      </c>
      <c r="E37" s="272">
        <v>7754124</v>
      </c>
      <c r="F37" s="273">
        <f>E37*0.5</f>
        <v>3877062</v>
      </c>
      <c r="G37" s="274">
        <f>(E37+F37)*20%</f>
        <v>2326237.2000000002</v>
      </c>
      <c r="H37" s="274"/>
      <c r="I37" s="275">
        <f>SUM(E37:G37)</f>
        <v>13957423.199999999</v>
      </c>
      <c r="J37" s="276"/>
      <c r="K37" s="279"/>
    </row>
    <row r="38" spans="2:11" ht="12.6" customHeight="1">
      <c r="B38" s="270" t="s">
        <v>140</v>
      </c>
      <c r="C38" s="271"/>
      <c r="D38" s="272">
        <v>284888</v>
      </c>
      <c r="E38" s="272">
        <v>5840196</v>
      </c>
      <c r="F38" s="273">
        <f>E38*0.5</f>
        <v>2920098</v>
      </c>
      <c r="G38" s="274">
        <f>(E38+F38)*20%</f>
        <v>1752058.8</v>
      </c>
      <c r="H38" s="274"/>
      <c r="I38" s="275">
        <f>SUM(E38:G38)</f>
        <v>10512352.800000001</v>
      </c>
      <c r="J38" s="276"/>
      <c r="K38" s="278"/>
    </row>
    <row r="39" spans="2:11" ht="12.6" customHeight="1">
      <c r="B39" s="270" t="s">
        <v>139</v>
      </c>
      <c r="C39" s="271"/>
      <c r="D39" s="272">
        <v>519469</v>
      </c>
      <c r="E39" s="272">
        <v>10649117</v>
      </c>
      <c r="F39" s="273">
        <f>E39*0.5</f>
        <v>5324558.5</v>
      </c>
      <c r="G39" s="274">
        <f>(E39+F39)*20%</f>
        <v>3194735.1</v>
      </c>
      <c r="H39" s="274"/>
      <c r="I39" s="275">
        <f>SUM(E39:G39)</f>
        <v>19168410.600000001</v>
      </c>
      <c r="J39" s="276"/>
      <c r="K39" s="278"/>
    </row>
    <row r="40" spans="2:11" ht="12.6" customHeight="1">
      <c r="B40" s="270" t="s">
        <v>138</v>
      </c>
      <c r="C40" s="271"/>
      <c r="D40" s="272">
        <v>252196</v>
      </c>
      <c r="E40" s="272">
        <v>5170016</v>
      </c>
      <c r="F40" s="273">
        <f>E40*0.5</f>
        <v>2585008</v>
      </c>
      <c r="G40" s="274">
        <f>(E40+F40)*20%</f>
        <v>1551004.8</v>
      </c>
      <c r="H40" s="274"/>
      <c r="I40" s="275">
        <f>SUM(E40:G40)</f>
        <v>9306028.8000000007</v>
      </c>
      <c r="J40" s="276"/>
      <c r="K40" s="278"/>
    </row>
    <row r="41" spans="2:11" ht="12.6" customHeight="1">
      <c r="B41" s="191" t="s">
        <v>137</v>
      </c>
      <c r="C41" s="192"/>
      <c r="D41" s="139">
        <v>575293</v>
      </c>
      <c r="E41" s="139">
        <v>11793500</v>
      </c>
      <c r="F41" s="133">
        <f>E41*0.5</f>
        <v>5896750</v>
      </c>
      <c r="G41" s="157">
        <f>(E41+F41)*20%</f>
        <v>3538050</v>
      </c>
      <c r="H41" s="157"/>
      <c r="I41" s="247">
        <f>SUM(E41:G41)</f>
        <v>21228300</v>
      </c>
      <c r="J41" s="246"/>
      <c r="K41" s="140"/>
    </row>
    <row r="42" spans="2:11" ht="12.6" customHeight="1">
      <c r="B42" s="155" t="s">
        <v>136</v>
      </c>
      <c r="C42" s="156"/>
      <c r="D42" s="139">
        <v>538638</v>
      </c>
      <c r="E42" s="139">
        <v>11042071</v>
      </c>
      <c r="F42" s="133">
        <f>E42*0.5</f>
        <v>5521035.5</v>
      </c>
      <c r="G42" s="157">
        <f>(E42+F42)*20%</f>
        <v>3312621.3000000003</v>
      </c>
      <c r="H42" s="157"/>
      <c r="I42" s="247">
        <f>SUM(E42:G42)</f>
        <v>19875727.800000001</v>
      </c>
      <c r="J42" s="246"/>
      <c r="K42" s="140"/>
    </row>
    <row r="43" spans="2:11" ht="12.6" customHeight="1">
      <c r="B43" s="155" t="s">
        <v>135</v>
      </c>
      <c r="C43" s="156"/>
      <c r="D43" s="139">
        <v>197714</v>
      </c>
      <c r="E43" s="139">
        <v>4053137</v>
      </c>
      <c r="F43" s="133">
        <f>E43*0.5</f>
        <v>2026568.5</v>
      </c>
      <c r="G43" s="157">
        <f>(E43+F43)*20%</f>
        <v>1215941.1000000001</v>
      </c>
      <c r="H43" s="157"/>
      <c r="I43" s="247">
        <f>SUM(E43:G43)</f>
        <v>7295646.5999999996</v>
      </c>
      <c r="J43" s="246"/>
      <c r="K43" s="140"/>
    </row>
    <row r="44" spans="2:11" ht="12.6" customHeight="1">
      <c r="B44" s="155" t="s">
        <v>134</v>
      </c>
      <c r="C44" s="156"/>
      <c r="D44" s="139">
        <v>572934</v>
      </c>
      <c r="E44" s="139">
        <v>11745154</v>
      </c>
      <c r="F44" s="133">
        <f>E44*0.5</f>
        <v>5872577</v>
      </c>
      <c r="G44" s="157">
        <f>(E44+F44)*20%</f>
        <v>3523546.2</v>
      </c>
      <c r="H44" s="157"/>
      <c r="I44" s="247">
        <f>SUM(E44:G44)</f>
        <v>21141277.199999999</v>
      </c>
      <c r="J44" s="246"/>
      <c r="K44" s="140"/>
    </row>
    <row r="45" spans="2:11" ht="12.6" customHeight="1" thickBot="1">
      <c r="B45" s="193" t="s">
        <v>133</v>
      </c>
      <c r="C45" s="194"/>
      <c r="D45" s="144">
        <v>507887</v>
      </c>
      <c r="E45" s="144">
        <v>10411680</v>
      </c>
      <c r="F45" s="133">
        <f>E45*0.5</f>
        <v>5205840</v>
      </c>
      <c r="G45" s="157">
        <f>(E45+F45)*20%</f>
        <v>3123504</v>
      </c>
      <c r="H45" s="157"/>
      <c r="I45" s="247">
        <f>SUM(E45:G45)</f>
        <v>18741024</v>
      </c>
      <c r="J45" s="246"/>
      <c r="K45" s="140"/>
    </row>
    <row r="46" spans="2:11" ht="15" thickBot="1">
      <c r="B46" s="30"/>
      <c r="C46" s="30"/>
    </row>
    <row r="47" spans="2:11">
      <c r="B47" s="180" t="s">
        <v>22</v>
      </c>
      <c r="C47" s="183"/>
      <c r="D47" s="184"/>
      <c r="E47" s="184"/>
      <c r="F47" s="184"/>
      <c r="G47" s="184"/>
      <c r="H47" s="184"/>
      <c r="I47" s="184"/>
      <c r="J47" s="184"/>
      <c r="K47" s="185"/>
    </row>
    <row r="48" spans="2:11">
      <c r="B48" s="181"/>
      <c r="C48" s="152" t="s">
        <v>21</v>
      </c>
      <c r="D48" s="153"/>
      <c r="E48" s="153"/>
      <c r="F48" s="153"/>
      <c r="G48" s="153"/>
      <c r="H48" s="153"/>
      <c r="I48" s="153"/>
      <c r="J48" s="153"/>
      <c r="K48" s="154"/>
    </row>
    <row r="49" spans="2:11">
      <c r="B49" s="181"/>
      <c r="C49" s="152" t="s">
        <v>41</v>
      </c>
      <c r="D49" s="153"/>
      <c r="E49" s="153"/>
      <c r="F49" s="153"/>
      <c r="G49" s="153"/>
      <c r="H49" s="153"/>
      <c r="I49" s="153"/>
      <c r="J49" s="153"/>
      <c r="K49" s="154"/>
    </row>
    <row r="50" spans="2:11" ht="15" thickBot="1">
      <c r="B50" s="182"/>
      <c r="C50" s="171"/>
      <c r="D50" s="172"/>
      <c r="E50" s="172"/>
      <c r="F50" s="172"/>
      <c r="G50" s="172"/>
      <c r="H50" s="172"/>
      <c r="I50" s="172"/>
      <c r="J50" s="172"/>
      <c r="K50" s="173"/>
    </row>
    <row r="51" spans="2:11">
      <c r="B51" s="30"/>
      <c r="C51" s="30"/>
      <c r="H51" s="30"/>
      <c r="I51" s="30"/>
      <c r="J51" s="30"/>
    </row>
    <row r="52" spans="2:11" s="36" customFormat="1" ht="11.25"/>
    <row r="53" spans="2:11" s="36" customFormat="1" ht="12">
      <c r="H53" s="35"/>
      <c r="I53" s="35"/>
      <c r="J53" s="35"/>
      <c r="K53" s="35" t="s">
        <v>13</v>
      </c>
    </row>
    <row r="54" spans="2:11" s="36" customFormat="1" ht="12">
      <c r="H54" s="35"/>
      <c r="I54" s="35"/>
      <c r="J54" s="35"/>
      <c r="K54" s="35" t="s">
        <v>20</v>
      </c>
    </row>
    <row r="55" spans="2:11" s="36" customFormat="1" ht="11.25"/>
    <row r="56" spans="2:11" s="36" customFormat="1" ht="11.25"/>
    <row r="58" spans="2:11">
      <c r="H58" s="30"/>
      <c r="I58" s="30"/>
      <c r="J58" s="30"/>
    </row>
    <row r="59" spans="2:11">
      <c r="H59" s="30"/>
      <c r="I59" s="30"/>
      <c r="J59" s="30"/>
    </row>
  </sheetData>
  <mergeCells count="82">
    <mergeCell ref="G28:H28"/>
    <mergeCell ref="G29:H29"/>
    <mergeCell ref="G30:H30"/>
    <mergeCell ref="G31:H31"/>
    <mergeCell ref="I32:J32"/>
    <mergeCell ref="I31:J31"/>
    <mergeCell ref="I30:J30"/>
    <mergeCell ref="I28:J28"/>
    <mergeCell ref="I38:J38"/>
    <mergeCell ref="I37:J37"/>
    <mergeCell ref="I36:J36"/>
    <mergeCell ref="I34:J34"/>
    <mergeCell ref="H8:I8"/>
    <mergeCell ref="B32:C32"/>
    <mergeCell ref="B28:C28"/>
    <mergeCell ref="F22:G22"/>
    <mergeCell ref="H22:J22"/>
    <mergeCell ref="C21:E21"/>
    <mergeCell ref="I45:J45"/>
    <mergeCell ref="I44:J44"/>
    <mergeCell ref="I43:J43"/>
    <mergeCell ref="I42:J42"/>
    <mergeCell ref="G45:H45"/>
    <mergeCell ref="I29:J29"/>
    <mergeCell ref="I41:J41"/>
    <mergeCell ref="I33:J33"/>
    <mergeCell ref="I40:J40"/>
    <mergeCell ref="I39:J39"/>
    <mergeCell ref="B34:C34"/>
    <mergeCell ref="B29:C29"/>
    <mergeCell ref="B30:C30"/>
    <mergeCell ref="B31:C31"/>
    <mergeCell ref="B33:C33"/>
    <mergeCell ref="I35:J35"/>
    <mergeCell ref="C18:E18"/>
    <mergeCell ref="C7:D7"/>
    <mergeCell ref="C8:D8"/>
    <mergeCell ref="C9:D9"/>
    <mergeCell ref="B6:D6"/>
    <mergeCell ref="G36:H36"/>
    <mergeCell ref="G32:H32"/>
    <mergeCell ref="G33:H33"/>
    <mergeCell ref="G34:H34"/>
    <mergeCell ref="H21:J21"/>
    <mergeCell ref="F27:H27"/>
    <mergeCell ref="J6:K6"/>
    <mergeCell ref="J7:K7"/>
    <mergeCell ref="J8:K8"/>
    <mergeCell ref="J9:K9"/>
    <mergeCell ref="J10:K10"/>
    <mergeCell ref="J11:K11"/>
    <mergeCell ref="B25:H25"/>
    <mergeCell ref="C22:E22"/>
    <mergeCell ref="I25:J25"/>
    <mergeCell ref="C50:K50"/>
    <mergeCell ref="B47:B50"/>
    <mergeCell ref="C47:K47"/>
    <mergeCell ref="C48:K48"/>
    <mergeCell ref="C49:K49"/>
    <mergeCell ref="B1:H1"/>
    <mergeCell ref="B4:K4"/>
    <mergeCell ref="F21:G21"/>
    <mergeCell ref="B35:C35"/>
    <mergeCell ref="B36:C36"/>
    <mergeCell ref="G37:H37"/>
    <mergeCell ref="G38:H38"/>
    <mergeCell ref="G39:H39"/>
    <mergeCell ref="B37:C37"/>
    <mergeCell ref="G42:H42"/>
    <mergeCell ref="G35:H35"/>
    <mergeCell ref="G40:H40"/>
    <mergeCell ref="G41:H41"/>
    <mergeCell ref="B40:C40"/>
    <mergeCell ref="B45:C45"/>
    <mergeCell ref="G43:H43"/>
    <mergeCell ref="B44:C44"/>
    <mergeCell ref="B42:C42"/>
    <mergeCell ref="B43:C43"/>
    <mergeCell ref="B41:C41"/>
    <mergeCell ref="G44:H44"/>
    <mergeCell ref="B38:C38"/>
    <mergeCell ref="B39:C39"/>
  </mergeCells>
  <phoneticPr fontId="10" type="noConversion"/>
  <printOptions horizontalCentered="1"/>
  <pageMargins left="0.15748031496062992" right="0.15748031496062992" top="0.19685039370078741" bottom="0.19685039370078741" header="0.19685039370078741" footer="0.15748031496062992"/>
  <pageSetup paperSize="9" scale="75" fitToHeight="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V13"/>
  <sheetViews>
    <sheetView view="pageBreakPreview" zoomScaleNormal="86" zoomScaleSheetLayoutView="100" workbookViewId="0">
      <selection activeCell="H19" sqref="H19"/>
    </sheetView>
  </sheetViews>
  <sheetFormatPr defaultColWidth="8.77734375" defaultRowHeight="16.5"/>
  <cols>
    <col min="1" max="1" width="2.6640625" style="1" customWidth="1"/>
    <col min="2" max="2" width="13.109375" style="1" customWidth="1"/>
    <col min="3" max="3" width="15.33203125" style="1" bestFit="1" customWidth="1"/>
    <col min="4" max="6" width="6.5546875" style="1" customWidth="1"/>
    <col min="7" max="7" width="7.109375" style="1" bestFit="1" customWidth="1"/>
    <col min="8" max="19" width="5.6640625" style="1" customWidth="1"/>
    <col min="20" max="20" width="8.77734375" style="1" customWidth="1"/>
    <col min="21" max="21" width="17.21875" style="1" customWidth="1"/>
    <col min="22" max="22" width="8.77734375" style="1" customWidth="1"/>
    <col min="23" max="16384" width="8.77734375" style="1"/>
  </cols>
  <sheetData>
    <row r="1" spans="2:22">
      <c r="V1" s="195"/>
    </row>
    <row r="2" spans="2:22" ht="17.25" thickBot="1">
      <c r="B2" s="98" t="s">
        <v>65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195"/>
    </row>
    <row r="3" spans="2:22" ht="18" customHeight="1">
      <c r="B3" s="209" t="s">
        <v>14</v>
      </c>
      <c r="C3" s="196" t="s">
        <v>15</v>
      </c>
      <c r="D3" s="196" t="s">
        <v>126</v>
      </c>
      <c r="E3" s="196" t="s">
        <v>130</v>
      </c>
      <c r="F3" s="196" t="s">
        <v>131</v>
      </c>
      <c r="G3" s="196" t="s">
        <v>127</v>
      </c>
      <c r="H3" s="202" t="s">
        <v>113</v>
      </c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196" t="s">
        <v>16</v>
      </c>
      <c r="U3" s="199" t="s">
        <v>153</v>
      </c>
    </row>
    <row r="4" spans="2:22">
      <c r="B4" s="210"/>
      <c r="C4" s="197"/>
      <c r="D4" s="197"/>
      <c r="E4" s="197"/>
      <c r="F4" s="197"/>
      <c r="G4" s="197"/>
      <c r="H4" s="204" t="s">
        <v>69</v>
      </c>
      <c r="I4" s="205"/>
      <c r="J4" s="206"/>
      <c r="K4" s="205" t="s">
        <v>45</v>
      </c>
      <c r="L4" s="205"/>
      <c r="M4" s="205"/>
      <c r="N4" s="205"/>
      <c r="O4" s="206"/>
      <c r="P4" s="205" t="s">
        <v>52</v>
      </c>
      <c r="Q4" s="205"/>
      <c r="R4" s="205"/>
      <c r="S4" s="206"/>
      <c r="T4" s="197"/>
      <c r="U4" s="200"/>
    </row>
    <row r="5" spans="2:22">
      <c r="B5" s="210"/>
      <c r="C5" s="197"/>
      <c r="D5" s="197"/>
      <c r="E5" s="197"/>
      <c r="F5" s="197"/>
      <c r="G5" s="197"/>
      <c r="H5" s="204" t="s">
        <v>79</v>
      </c>
      <c r="I5" s="205"/>
      <c r="J5" s="205"/>
      <c r="K5" s="206"/>
      <c r="L5" s="204" t="s">
        <v>80</v>
      </c>
      <c r="M5" s="205"/>
      <c r="N5" s="205"/>
      <c r="O5" s="206"/>
      <c r="P5" s="204" t="s">
        <v>68</v>
      </c>
      <c r="Q5" s="205"/>
      <c r="R5" s="205"/>
      <c r="S5" s="206"/>
      <c r="T5" s="197"/>
      <c r="U5" s="200"/>
    </row>
    <row r="6" spans="2:22">
      <c r="B6" s="211"/>
      <c r="C6" s="198"/>
      <c r="D6" s="198"/>
      <c r="E6" s="198"/>
      <c r="F6" s="198"/>
      <c r="G6" s="198"/>
      <c r="H6" s="64" t="s">
        <v>72</v>
      </c>
      <c r="I6" s="64" t="s">
        <v>73</v>
      </c>
      <c r="J6" s="64" t="s">
        <v>74</v>
      </c>
      <c r="K6" s="64" t="s">
        <v>75</v>
      </c>
      <c r="L6" s="64" t="s">
        <v>72</v>
      </c>
      <c r="M6" s="64" t="s">
        <v>73</v>
      </c>
      <c r="N6" s="64" t="s">
        <v>74</v>
      </c>
      <c r="O6" s="64" t="s">
        <v>75</v>
      </c>
      <c r="P6" s="64" t="s">
        <v>72</v>
      </c>
      <c r="Q6" s="64" t="s">
        <v>73</v>
      </c>
      <c r="R6" s="64" t="s">
        <v>74</v>
      </c>
      <c r="S6" s="64" t="s">
        <v>75</v>
      </c>
      <c r="T6" s="198"/>
      <c r="U6" s="201"/>
    </row>
    <row r="7" spans="2:22" ht="32.25" customHeight="1">
      <c r="B7" s="145" t="s">
        <v>128</v>
      </c>
      <c r="C7" s="146" t="str">
        <f>견적!B33</f>
        <v>5. IT 프로젝트 관리자</v>
      </c>
      <c r="D7" s="146" t="s">
        <v>129</v>
      </c>
      <c r="E7" s="245" t="s">
        <v>132</v>
      </c>
      <c r="F7" s="245" t="s">
        <v>132</v>
      </c>
      <c r="G7" s="146" t="s">
        <v>124</v>
      </c>
      <c r="H7" s="63">
        <v>0.25</v>
      </c>
      <c r="I7" s="63">
        <v>0.25</v>
      </c>
      <c r="J7" s="63">
        <v>0.25</v>
      </c>
      <c r="K7" s="63">
        <v>0.25</v>
      </c>
      <c r="L7" s="63">
        <v>0.25</v>
      </c>
      <c r="M7" s="63">
        <v>0.25</v>
      </c>
      <c r="N7" s="63">
        <v>0.25</v>
      </c>
      <c r="O7" s="63">
        <v>0.25</v>
      </c>
      <c r="P7" s="63">
        <v>0.25</v>
      </c>
      <c r="Q7" s="63">
        <v>0.25</v>
      </c>
      <c r="R7" s="63">
        <v>0.25</v>
      </c>
      <c r="S7" s="63">
        <v>0.25</v>
      </c>
      <c r="T7" s="62">
        <f>SUM(H7:S7)</f>
        <v>3</v>
      </c>
      <c r="U7" s="269" t="s">
        <v>125</v>
      </c>
    </row>
    <row r="8" spans="2:22" ht="17.25" thickBot="1">
      <c r="B8" s="207" t="s">
        <v>17</v>
      </c>
      <c r="C8" s="208"/>
      <c r="D8" s="208"/>
      <c r="E8" s="208"/>
      <c r="F8" s="208"/>
      <c r="G8" s="208"/>
      <c r="H8" s="28">
        <f t="shared" ref="H8:S8" si="0">SUM(H7:H7)</f>
        <v>0.25</v>
      </c>
      <c r="I8" s="28">
        <f t="shared" si="0"/>
        <v>0.25</v>
      </c>
      <c r="J8" s="28">
        <f t="shared" si="0"/>
        <v>0.25</v>
      </c>
      <c r="K8" s="28">
        <f t="shared" si="0"/>
        <v>0.25</v>
      </c>
      <c r="L8" s="28">
        <f t="shared" si="0"/>
        <v>0.25</v>
      </c>
      <c r="M8" s="28">
        <f t="shared" si="0"/>
        <v>0.25</v>
      </c>
      <c r="N8" s="28">
        <f t="shared" si="0"/>
        <v>0.25</v>
      </c>
      <c r="O8" s="28">
        <f t="shared" si="0"/>
        <v>0.25</v>
      </c>
      <c r="P8" s="28">
        <f t="shared" si="0"/>
        <v>0.25</v>
      </c>
      <c r="Q8" s="28">
        <f t="shared" si="0"/>
        <v>0.25</v>
      </c>
      <c r="R8" s="28">
        <f t="shared" si="0"/>
        <v>0.25</v>
      </c>
      <c r="S8" s="28">
        <f t="shared" si="0"/>
        <v>0.25</v>
      </c>
      <c r="T8" s="28">
        <f>SUM(H8:S8)</f>
        <v>3</v>
      </c>
      <c r="U8" s="29"/>
    </row>
    <row r="10" spans="2:22">
      <c r="B10" s="97" t="str">
        <f>"* 프로젝트 분석/설계 공수 = " &amp; SUM(H7:J7) &amp;", 개발 공수 = " &amp; SUM(K7:O7) &amp; ", 안정화 = " &amp; SUM(P7:S7)</f>
        <v>* 프로젝트 분석/설계 공수 = 0.75, 개발 공수 = 1.25, 안정화 = 1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</row>
    <row r="11" spans="2:22">
      <c r="B11" s="97" t="s">
        <v>71</v>
      </c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</row>
    <row r="12" spans="2:22"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</row>
    <row r="13" spans="2:22"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</row>
  </sheetData>
  <mergeCells count="17">
    <mergeCell ref="B8:G8"/>
    <mergeCell ref="B3:B6"/>
    <mergeCell ref="C3:C6"/>
    <mergeCell ref="F3:F6"/>
    <mergeCell ref="P5:S5"/>
    <mergeCell ref="D3:D6"/>
    <mergeCell ref="G3:G6"/>
    <mergeCell ref="E3:E6"/>
    <mergeCell ref="V1:V2"/>
    <mergeCell ref="T3:T6"/>
    <mergeCell ref="U3:U6"/>
    <mergeCell ref="H3:S3"/>
    <mergeCell ref="H5:K5"/>
    <mergeCell ref="L5:O5"/>
    <mergeCell ref="P4:S4"/>
    <mergeCell ref="K4:O4"/>
    <mergeCell ref="H4:J4"/>
  </mergeCells>
  <phoneticPr fontId="10" type="noConversion"/>
  <pageMargins left="0.25" right="0.25" top="0.75" bottom="0.75" header="0.3" footer="0.3"/>
  <pageSetup paperSize="9"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9C38-233C-45DC-B603-685B2FE37580}">
  <dimension ref="A1:H36"/>
  <sheetViews>
    <sheetView view="pageBreakPreview" zoomScaleNormal="100" zoomScaleSheetLayoutView="100" workbookViewId="0">
      <selection activeCell="C34" sqref="C34"/>
    </sheetView>
  </sheetViews>
  <sheetFormatPr defaultColWidth="8.88671875" defaultRowHeight="13.5"/>
  <cols>
    <col min="1" max="1" width="1.77734375" style="106" customWidth="1"/>
    <col min="2" max="2" width="17.88671875" style="106" customWidth="1"/>
    <col min="3" max="3" width="53.33203125" style="106" customWidth="1"/>
    <col min="4" max="4" width="29.6640625" style="106" customWidth="1"/>
    <col min="5" max="5" width="11.6640625" style="106" bestFit="1" customWidth="1"/>
    <col min="6" max="6" width="8" style="106" bestFit="1" customWidth="1"/>
    <col min="7" max="7" width="11.6640625" style="106" bestFit="1" customWidth="1"/>
    <col min="8" max="16384" width="8.88671875" style="106"/>
  </cols>
  <sheetData>
    <row r="1" spans="1:8">
      <c r="H1" s="212"/>
    </row>
    <row r="2" spans="1:8" ht="14.25" thickBot="1">
      <c r="B2" s="214" t="s">
        <v>66</v>
      </c>
      <c r="C2" s="214"/>
      <c r="D2" s="214"/>
      <c r="E2" s="214"/>
      <c r="F2" s="214"/>
      <c r="G2" s="214"/>
      <c r="H2" s="212"/>
    </row>
    <row r="3" spans="1:8">
      <c r="B3" s="107" t="s">
        <v>0</v>
      </c>
      <c r="C3" s="108" t="s">
        <v>46</v>
      </c>
      <c r="D3" s="108" t="s">
        <v>47</v>
      </c>
      <c r="E3" s="108" t="s">
        <v>48</v>
      </c>
      <c r="F3" s="108" t="s">
        <v>50</v>
      </c>
      <c r="G3" s="109" t="s">
        <v>51</v>
      </c>
    </row>
    <row r="4" spans="1:8">
      <c r="B4" s="99" t="s">
        <v>110</v>
      </c>
      <c r="C4" s="100"/>
      <c r="D4" s="100"/>
      <c r="E4" s="110">
        <v>1</v>
      </c>
      <c r="F4" s="110">
        <v>1.8</v>
      </c>
      <c r="G4" s="111">
        <f>E4*F4</f>
        <v>1.8</v>
      </c>
    </row>
    <row r="5" spans="1:8" ht="15" customHeight="1">
      <c r="B5" s="101" t="s">
        <v>81</v>
      </c>
      <c r="C5" s="112" t="s">
        <v>82</v>
      </c>
      <c r="D5" s="126"/>
      <c r="E5" s="110">
        <v>1</v>
      </c>
      <c r="F5" s="110">
        <v>0.6</v>
      </c>
      <c r="G5" s="111">
        <f t="shared" ref="G5" si="0">E5*F5</f>
        <v>0.6</v>
      </c>
    </row>
    <row r="6" spans="1:8" ht="15" customHeight="1">
      <c r="B6" s="101"/>
      <c r="C6" s="103" t="s">
        <v>81</v>
      </c>
      <c r="D6" s="126"/>
      <c r="E6" s="110">
        <v>1</v>
      </c>
      <c r="F6" s="110">
        <v>0.6</v>
      </c>
      <c r="G6" s="111">
        <f>E6*F6</f>
        <v>0.6</v>
      </c>
    </row>
    <row r="7" spans="1:8" ht="15" customHeight="1">
      <c r="B7" s="101"/>
      <c r="C7" s="103" t="s">
        <v>83</v>
      </c>
      <c r="D7" s="126"/>
      <c r="E7" s="110">
        <v>1</v>
      </c>
      <c r="F7" s="110">
        <v>0.6</v>
      </c>
      <c r="G7" s="111">
        <f t="shared" ref="G7" si="1">E7*F7</f>
        <v>0.6</v>
      </c>
    </row>
    <row r="8" spans="1:8" ht="15" customHeight="1">
      <c r="B8" s="102" t="s">
        <v>77</v>
      </c>
      <c r="C8" s="112" t="s">
        <v>84</v>
      </c>
      <c r="D8" s="126"/>
      <c r="E8" s="110">
        <v>1</v>
      </c>
      <c r="F8" s="110">
        <v>0.6</v>
      </c>
      <c r="G8" s="111">
        <f t="shared" ref="G8:G18" si="2">E8*F8</f>
        <v>0.6</v>
      </c>
    </row>
    <row r="9" spans="1:8" ht="15" customHeight="1">
      <c r="B9" s="101"/>
      <c r="C9" s="118" t="s">
        <v>88</v>
      </c>
      <c r="D9" s="126"/>
      <c r="E9" s="110">
        <v>1</v>
      </c>
      <c r="F9" s="110">
        <v>0.6</v>
      </c>
      <c r="G9" s="111">
        <f t="shared" si="2"/>
        <v>0.6</v>
      </c>
    </row>
    <row r="10" spans="1:8" ht="15" customHeight="1">
      <c r="B10" s="101"/>
      <c r="C10" s="118" t="s">
        <v>89</v>
      </c>
      <c r="D10" s="126"/>
      <c r="E10" s="110">
        <v>1</v>
      </c>
      <c r="F10" s="110">
        <v>0.6</v>
      </c>
      <c r="G10" s="111">
        <f t="shared" si="2"/>
        <v>0.6</v>
      </c>
    </row>
    <row r="11" spans="1:8" ht="15" customHeight="1">
      <c r="B11" s="101"/>
      <c r="C11" s="118" t="s">
        <v>90</v>
      </c>
      <c r="D11" s="126"/>
      <c r="E11" s="110">
        <v>1</v>
      </c>
      <c r="F11" s="110">
        <v>0.6</v>
      </c>
      <c r="G11" s="111">
        <f t="shared" si="2"/>
        <v>0.6</v>
      </c>
    </row>
    <row r="12" spans="1:8" ht="15" customHeight="1">
      <c r="B12" s="101"/>
      <c r="C12" s="103" t="s">
        <v>85</v>
      </c>
      <c r="D12" s="126"/>
      <c r="E12" s="110">
        <v>1</v>
      </c>
      <c r="F12" s="110">
        <v>0.6</v>
      </c>
      <c r="G12" s="111">
        <f t="shared" si="2"/>
        <v>0.6</v>
      </c>
    </row>
    <row r="13" spans="1:8" ht="15" customHeight="1">
      <c r="B13" s="101"/>
      <c r="C13" s="103" t="s">
        <v>86</v>
      </c>
      <c r="D13" s="126"/>
      <c r="E13" s="110">
        <v>1</v>
      </c>
      <c r="F13" s="110">
        <v>0.6</v>
      </c>
      <c r="G13" s="111">
        <f t="shared" si="2"/>
        <v>0.6</v>
      </c>
    </row>
    <row r="14" spans="1:8" ht="15" customHeight="1">
      <c r="B14" s="101"/>
      <c r="C14" s="112" t="s">
        <v>87</v>
      </c>
      <c r="D14" s="126"/>
      <c r="E14" s="110">
        <v>1</v>
      </c>
      <c r="F14" s="110">
        <v>0.6</v>
      </c>
      <c r="G14" s="111">
        <f t="shared" si="2"/>
        <v>0.6</v>
      </c>
    </row>
    <row r="15" spans="1:8" ht="15" customHeight="1">
      <c r="B15" s="101"/>
      <c r="C15" s="123" t="s">
        <v>91</v>
      </c>
      <c r="D15" s="126"/>
      <c r="E15" s="110">
        <v>1</v>
      </c>
      <c r="F15" s="110">
        <v>0.6</v>
      </c>
      <c r="G15" s="111">
        <f t="shared" si="2"/>
        <v>0.6</v>
      </c>
    </row>
    <row r="16" spans="1:8" ht="15" customHeight="1">
      <c r="A16" s="135"/>
      <c r="B16" s="219" t="s">
        <v>92</v>
      </c>
      <c r="C16" s="104" t="s">
        <v>94</v>
      </c>
      <c r="D16" s="127"/>
      <c r="E16" s="116">
        <v>1</v>
      </c>
      <c r="F16" s="110">
        <v>0.6</v>
      </c>
      <c r="G16" s="111">
        <f t="shared" si="2"/>
        <v>0.6</v>
      </c>
    </row>
    <row r="17" spans="1:7">
      <c r="A17" s="135"/>
      <c r="B17" s="219"/>
      <c r="C17" s="104" t="s">
        <v>91</v>
      </c>
      <c r="D17" s="128"/>
      <c r="E17" s="116">
        <v>1</v>
      </c>
      <c r="F17" s="110">
        <v>0.6</v>
      </c>
      <c r="G17" s="111">
        <f t="shared" si="2"/>
        <v>0.6</v>
      </c>
    </row>
    <row r="18" spans="1:7" ht="15" customHeight="1">
      <c r="B18" s="101" t="s">
        <v>78</v>
      </c>
      <c r="C18" s="124" t="s">
        <v>95</v>
      </c>
      <c r="D18" s="127"/>
      <c r="E18" s="116">
        <v>1</v>
      </c>
      <c r="F18" s="110">
        <v>0.6</v>
      </c>
      <c r="G18" s="111">
        <f t="shared" si="2"/>
        <v>0.6</v>
      </c>
    </row>
    <row r="19" spans="1:7" ht="15" customHeight="1">
      <c r="B19" s="101"/>
      <c r="C19" s="124" t="s">
        <v>96</v>
      </c>
      <c r="D19" s="127"/>
      <c r="E19" s="116">
        <v>1</v>
      </c>
      <c r="F19" s="110">
        <v>0.6</v>
      </c>
      <c r="G19" s="111">
        <f t="shared" ref="G19:G29" si="3">E19*F19</f>
        <v>0.6</v>
      </c>
    </row>
    <row r="20" spans="1:7" ht="15" customHeight="1">
      <c r="B20" s="101"/>
      <c r="C20" s="115" t="s">
        <v>97</v>
      </c>
      <c r="D20" s="127"/>
      <c r="E20" s="116">
        <v>1</v>
      </c>
      <c r="F20" s="110">
        <v>0.6</v>
      </c>
      <c r="G20" s="111">
        <f t="shared" si="3"/>
        <v>0.6</v>
      </c>
    </row>
    <row r="21" spans="1:7" ht="15" customHeight="1">
      <c r="B21" s="101"/>
      <c r="C21" s="125" t="s">
        <v>98</v>
      </c>
      <c r="D21" s="127"/>
      <c r="E21" s="116">
        <v>1</v>
      </c>
      <c r="F21" s="110">
        <v>0.6</v>
      </c>
      <c r="G21" s="111">
        <f t="shared" si="3"/>
        <v>0.6</v>
      </c>
    </row>
    <row r="22" spans="1:7" ht="15" customHeight="1">
      <c r="B22" s="101"/>
      <c r="C22" s="115" t="s">
        <v>109</v>
      </c>
      <c r="D22" s="127"/>
      <c r="E22" s="116">
        <v>1</v>
      </c>
      <c r="F22" s="110">
        <v>0.6</v>
      </c>
      <c r="G22" s="111">
        <f t="shared" si="3"/>
        <v>0.6</v>
      </c>
    </row>
    <row r="23" spans="1:7" ht="15" customHeight="1">
      <c r="B23" s="101"/>
      <c r="C23" s="115" t="s">
        <v>99</v>
      </c>
      <c r="D23" s="127"/>
      <c r="E23" s="116">
        <v>1</v>
      </c>
      <c r="F23" s="110">
        <v>0.6</v>
      </c>
      <c r="G23" s="111">
        <f t="shared" si="3"/>
        <v>0.6</v>
      </c>
    </row>
    <row r="24" spans="1:7" ht="15" customHeight="1">
      <c r="B24" s="101"/>
      <c r="C24" s="125" t="s">
        <v>100</v>
      </c>
      <c r="D24" s="127"/>
      <c r="E24" s="116">
        <v>1</v>
      </c>
      <c r="F24" s="110">
        <v>0.6</v>
      </c>
      <c r="G24" s="111">
        <f t="shared" si="3"/>
        <v>0.6</v>
      </c>
    </row>
    <row r="25" spans="1:7" ht="15" customHeight="1">
      <c r="B25" s="101"/>
      <c r="C25" s="104" t="s">
        <v>101</v>
      </c>
      <c r="D25" s="127"/>
      <c r="E25" s="116">
        <v>1</v>
      </c>
      <c r="F25" s="110">
        <v>0.6</v>
      </c>
      <c r="G25" s="111">
        <f t="shared" si="3"/>
        <v>0.6</v>
      </c>
    </row>
    <row r="26" spans="1:7" ht="15" customHeight="1">
      <c r="B26" s="101"/>
      <c r="C26" s="104" t="s">
        <v>102</v>
      </c>
      <c r="D26" s="127"/>
      <c r="E26" s="116">
        <v>1</v>
      </c>
      <c r="F26" s="110">
        <v>0.6</v>
      </c>
      <c r="G26" s="111">
        <f t="shared" si="3"/>
        <v>0.6</v>
      </c>
    </row>
    <row r="27" spans="1:7" ht="15" customHeight="1">
      <c r="B27" s="101"/>
      <c r="C27" s="112" t="s">
        <v>103</v>
      </c>
      <c r="D27" s="112"/>
      <c r="E27" s="116">
        <v>1</v>
      </c>
      <c r="F27" s="110">
        <v>0.6</v>
      </c>
      <c r="G27" s="111">
        <f t="shared" si="3"/>
        <v>0.6</v>
      </c>
    </row>
    <row r="28" spans="1:7" ht="15" customHeight="1">
      <c r="B28" s="113"/>
      <c r="C28" s="112" t="s">
        <v>104</v>
      </c>
      <c r="D28" s="114"/>
      <c r="E28" s="116">
        <v>1</v>
      </c>
      <c r="F28" s="110">
        <v>0.6</v>
      </c>
      <c r="G28" s="111">
        <f t="shared" si="3"/>
        <v>0.6</v>
      </c>
    </row>
    <row r="29" spans="1:7" ht="15" customHeight="1">
      <c r="B29" s="101" t="s">
        <v>93</v>
      </c>
      <c r="C29" s="104" t="s">
        <v>111</v>
      </c>
      <c r="D29" s="127"/>
      <c r="E29" s="116">
        <v>1</v>
      </c>
      <c r="F29" s="110">
        <v>0.6</v>
      </c>
      <c r="G29" s="117">
        <f t="shared" si="3"/>
        <v>0.6</v>
      </c>
    </row>
    <row r="30" spans="1:7" ht="15" customHeight="1" thickBot="1">
      <c r="B30" s="101"/>
      <c r="C30" s="104" t="s">
        <v>105</v>
      </c>
      <c r="D30" s="127" t="s">
        <v>112</v>
      </c>
      <c r="E30" s="116">
        <v>1</v>
      </c>
      <c r="F30" s="110">
        <v>0.6</v>
      </c>
      <c r="G30" s="117">
        <f t="shared" ref="G30" si="4">E30*F30</f>
        <v>0.6</v>
      </c>
    </row>
    <row r="31" spans="1:7" ht="15" customHeight="1" thickTop="1" thickBot="1">
      <c r="B31" s="217" t="s">
        <v>49</v>
      </c>
      <c r="C31" s="218"/>
      <c r="D31" s="218"/>
      <c r="E31" s="215">
        <f>SUM(E6:E30)</f>
        <v>25</v>
      </c>
      <c r="F31" s="216"/>
      <c r="G31" s="119">
        <f>SUM(G4:G30)</f>
        <v>17.399999999999999</v>
      </c>
    </row>
    <row r="32" spans="1:7">
      <c r="B32" s="120"/>
      <c r="C32" s="120"/>
      <c r="D32" s="120"/>
      <c r="E32" s="105"/>
    </row>
    <row r="33" spans="2:7">
      <c r="B33" s="213" t="str">
        <f>"* 표준 가이드에 의해 1M 17Page = " &amp; ROUNDUP(G31,3) &amp;" /17 = " &amp; ROUNDDOWN((G31/17),2) &amp; "M/M"</f>
        <v>* 표준 가이드에 의해 1M 17Page = 17.4 /17 = 1.02M/M</v>
      </c>
      <c r="C33" s="213"/>
      <c r="D33" s="213"/>
      <c r="E33" s="213"/>
      <c r="F33" s="213"/>
      <c r="G33" s="213"/>
    </row>
    <row r="34" spans="2:7">
      <c r="B34" s="122" t="s">
        <v>106</v>
      </c>
      <c r="C34" s="121"/>
      <c r="D34" s="121"/>
      <c r="E34" s="121"/>
      <c r="F34" s="121"/>
      <c r="G34" s="121"/>
    </row>
    <row r="35" spans="2:7">
      <c r="B35" s="122" t="s">
        <v>107</v>
      </c>
    </row>
    <row r="36" spans="2:7">
      <c r="B36" s="212"/>
      <c r="C36" s="212"/>
      <c r="D36" s="212"/>
      <c r="E36" s="212"/>
      <c r="F36" s="212"/>
      <c r="G36" s="212"/>
    </row>
  </sheetData>
  <mergeCells count="7">
    <mergeCell ref="H1:H2"/>
    <mergeCell ref="B33:G33"/>
    <mergeCell ref="B36:G36"/>
    <mergeCell ref="B2:G2"/>
    <mergeCell ref="E31:F31"/>
    <mergeCell ref="B31:D31"/>
    <mergeCell ref="B16:B17"/>
  </mergeCells>
  <phoneticPr fontId="10" type="noConversion"/>
  <pageMargins left="0.12" right="0.12" top="0.74803149606299213" bottom="0.74803149606299213" header="0.31496062992125984" footer="0.31496062992125984"/>
  <pageSetup paperSize="9"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CD7C-68A6-49F8-BC95-AC12FA74535C}">
  <sheetPr>
    <pageSetUpPr fitToPage="1"/>
  </sheetPr>
  <dimension ref="B2:O18"/>
  <sheetViews>
    <sheetView view="pageBreakPreview" zoomScaleNormal="84" zoomScaleSheetLayoutView="100" workbookViewId="0">
      <selection activeCell="J26" sqref="J26"/>
    </sheetView>
  </sheetViews>
  <sheetFormatPr defaultRowHeight="13.5"/>
  <cols>
    <col min="1" max="1" width="3" customWidth="1"/>
    <col min="2" max="2" width="12.88671875" customWidth="1"/>
  </cols>
  <sheetData>
    <row r="2" spans="2:15" ht="17.25" thickBot="1">
      <c r="B2" s="227" t="s">
        <v>67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6"/>
    </row>
    <row r="3" spans="2:15" ht="18" thickTop="1">
      <c r="B3" s="233" t="s">
        <v>53</v>
      </c>
      <c r="C3" s="221" t="s">
        <v>108</v>
      </c>
      <c r="D3" s="221"/>
      <c r="E3" s="221"/>
      <c r="F3" s="221"/>
      <c r="G3" s="221" t="s">
        <v>80</v>
      </c>
      <c r="H3" s="221"/>
      <c r="I3" s="221"/>
      <c r="J3" s="221"/>
      <c r="K3" s="221" t="s">
        <v>68</v>
      </c>
      <c r="L3" s="221"/>
      <c r="M3" s="221"/>
      <c r="N3" s="232"/>
      <c r="O3" s="226"/>
    </row>
    <row r="4" spans="2:15" ht="16.5">
      <c r="B4" s="234"/>
      <c r="C4" s="72" t="s">
        <v>54</v>
      </c>
      <c r="D4" s="72" t="s">
        <v>55</v>
      </c>
      <c r="E4" s="72" t="s">
        <v>56</v>
      </c>
      <c r="F4" s="72" t="s">
        <v>57</v>
      </c>
      <c r="G4" s="72" t="s">
        <v>54</v>
      </c>
      <c r="H4" s="72" t="s">
        <v>55</v>
      </c>
      <c r="I4" s="72" t="s">
        <v>56</v>
      </c>
      <c r="J4" s="72" t="s">
        <v>57</v>
      </c>
      <c r="K4" s="72" t="s">
        <v>54</v>
      </c>
      <c r="L4" s="72" t="s">
        <v>55</v>
      </c>
      <c r="M4" s="72" t="s">
        <v>56</v>
      </c>
      <c r="N4" s="90" t="s">
        <v>57</v>
      </c>
    </row>
    <row r="5" spans="2:15" ht="17.25">
      <c r="B5" s="89" t="s">
        <v>58</v>
      </c>
      <c r="C5" s="240" t="s">
        <v>59</v>
      </c>
      <c r="D5" s="241"/>
      <c r="E5" s="242" t="s">
        <v>64</v>
      </c>
      <c r="F5" s="242"/>
      <c r="G5" s="241"/>
      <c r="H5" s="241"/>
      <c r="I5" s="241"/>
      <c r="J5" s="242" t="s">
        <v>63</v>
      </c>
      <c r="K5" s="242"/>
      <c r="L5" s="241"/>
      <c r="M5" s="243"/>
      <c r="N5" s="244" t="s">
        <v>70</v>
      </c>
    </row>
    <row r="6" spans="2:15">
      <c r="B6" s="228" t="s">
        <v>121</v>
      </c>
      <c r="C6" s="222" t="s">
        <v>122</v>
      </c>
      <c r="D6" s="223"/>
      <c r="E6" s="224"/>
      <c r="F6" s="73"/>
      <c r="G6" s="87"/>
      <c r="H6" s="87"/>
      <c r="I6" s="87"/>
      <c r="J6" s="87"/>
      <c r="K6" s="73"/>
      <c r="L6" s="87"/>
      <c r="M6" s="87"/>
      <c r="N6" s="132"/>
    </row>
    <row r="7" spans="2:15">
      <c r="B7" s="229"/>
      <c r="C7" s="74"/>
      <c r="D7" s="94"/>
      <c r="E7" s="94"/>
      <c r="F7" s="75"/>
      <c r="G7" s="93"/>
      <c r="H7" s="93"/>
      <c r="I7" s="93"/>
      <c r="J7" s="93"/>
      <c r="K7" s="75"/>
      <c r="L7" s="93"/>
      <c r="M7" s="93"/>
      <c r="N7" s="137"/>
    </row>
    <row r="8" spans="2:15">
      <c r="B8" s="231"/>
      <c r="C8" s="76"/>
      <c r="D8" s="77"/>
      <c r="E8" s="77"/>
      <c r="F8" s="78"/>
      <c r="G8" s="77"/>
      <c r="H8" s="77"/>
      <c r="I8" s="77"/>
      <c r="J8" s="77"/>
      <c r="K8" s="78"/>
      <c r="L8" s="77"/>
      <c r="M8" s="77"/>
      <c r="N8" s="138"/>
    </row>
    <row r="9" spans="2:15">
      <c r="B9" s="228" t="s">
        <v>60</v>
      </c>
      <c r="C9" s="88"/>
      <c r="D9" s="87"/>
      <c r="E9" s="87"/>
      <c r="F9" s="223" t="s">
        <v>120</v>
      </c>
      <c r="G9" s="223"/>
      <c r="H9" s="223"/>
      <c r="I9" s="223"/>
      <c r="J9" s="224"/>
      <c r="K9" s="80"/>
      <c r="L9" s="96"/>
      <c r="M9" s="96"/>
      <c r="N9" s="136"/>
    </row>
    <row r="10" spans="2:15">
      <c r="B10" s="229"/>
      <c r="C10" s="79"/>
      <c r="D10" s="93"/>
      <c r="E10" s="93"/>
      <c r="F10" s="94"/>
      <c r="G10" s="94"/>
      <c r="H10" s="94"/>
      <c r="I10" s="94"/>
      <c r="J10" s="94"/>
      <c r="K10" s="75"/>
      <c r="N10" s="131"/>
    </row>
    <row r="11" spans="2:15">
      <c r="B11" s="231"/>
      <c r="C11" s="76"/>
      <c r="D11" s="77"/>
      <c r="E11" s="77"/>
      <c r="F11" s="77"/>
      <c r="G11" s="77"/>
      <c r="H11" s="77"/>
      <c r="I11" s="77"/>
      <c r="J11" s="77"/>
      <c r="K11" s="78"/>
      <c r="L11" s="77"/>
      <c r="M11" s="77"/>
      <c r="N11" s="138"/>
    </row>
    <row r="12" spans="2:15">
      <c r="B12" s="228" t="s">
        <v>61</v>
      </c>
      <c r="C12" s="88"/>
      <c r="D12" s="87"/>
      <c r="E12" s="87"/>
      <c r="F12" s="87"/>
      <c r="G12" s="87"/>
      <c r="H12" s="87"/>
      <c r="I12" s="223" t="s">
        <v>123</v>
      </c>
      <c r="J12" s="223"/>
      <c r="K12" s="80"/>
      <c r="L12" s="96"/>
      <c r="M12" s="96"/>
      <c r="N12" s="136"/>
    </row>
    <row r="13" spans="2:15">
      <c r="B13" s="229"/>
      <c r="C13" s="79"/>
      <c r="D13" s="93"/>
      <c r="E13" s="93"/>
      <c r="F13" s="93"/>
      <c r="G13" s="93"/>
      <c r="H13" s="93"/>
      <c r="I13" s="94"/>
      <c r="J13" s="94"/>
      <c r="K13" s="75"/>
      <c r="N13" s="131"/>
    </row>
    <row r="14" spans="2:15">
      <c r="B14" s="231"/>
      <c r="C14" s="76"/>
      <c r="D14" s="77"/>
      <c r="E14" s="77"/>
      <c r="F14" s="77"/>
      <c r="G14" s="77"/>
      <c r="H14" s="77"/>
      <c r="I14" s="77"/>
      <c r="J14" s="77"/>
      <c r="K14" s="78"/>
      <c r="L14" s="77"/>
      <c r="M14" s="77"/>
      <c r="N14" s="138"/>
    </row>
    <row r="15" spans="2:15">
      <c r="B15" s="228" t="s">
        <v>52</v>
      </c>
      <c r="C15" s="88"/>
      <c r="D15" s="87"/>
      <c r="E15" s="87"/>
      <c r="F15" s="87"/>
      <c r="G15" s="87"/>
      <c r="H15" s="87"/>
      <c r="I15" s="87"/>
      <c r="J15" s="87"/>
      <c r="K15" s="223" t="s">
        <v>76</v>
      </c>
      <c r="L15" s="223"/>
      <c r="M15" s="223"/>
      <c r="N15" s="225"/>
    </row>
    <row r="16" spans="2:15">
      <c r="B16" s="229"/>
      <c r="C16" s="79"/>
      <c r="D16" s="93"/>
      <c r="E16" s="93"/>
      <c r="F16" s="93"/>
      <c r="G16" s="93"/>
      <c r="H16" s="93"/>
      <c r="I16" s="93"/>
      <c r="J16" s="93"/>
      <c r="K16" s="94"/>
      <c r="L16" s="94"/>
      <c r="M16" s="94"/>
      <c r="N16" s="91"/>
    </row>
    <row r="17" spans="2:14" ht="14.25" thickBot="1">
      <c r="B17" s="230"/>
      <c r="C17" s="81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92"/>
    </row>
    <row r="18" spans="2:14" ht="14.25" thickTop="1">
      <c r="B18" s="220"/>
      <c r="C18" s="220"/>
    </row>
  </sheetData>
  <mergeCells count="17">
    <mergeCell ref="O2:O3"/>
    <mergeCell ref="B2:N2"/>
    <mergeCell ref="B15:B17"/>
    <mergeCell ref="B9:B11"/>
    <mergeCell ref="B12:B14"/>
    <mergeCell ref="K3:N3"/>
    <mergeCell ref="B6:B8"/>
    <mergeCell ref="B3:B4"/>
    <mergeCell ref="C3:F3"/>
    <mergeCell ref="B18:C18"/>
    <mergeCell ref="G3:J3"/>
    <mergeCell ref="E5:F5"/>
    <mergeCell ref="C6:E6"/>
    <mergeCell ref="I12:J12"/>
    <mergeCell ref="J5:K5"/>
    <mergeCell ref="K15:N15"/>
    <mergeCell ref="F9:J9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5</vt:i4>
      </vt:variant>
    </vt:vector>
  </HeadingPairs>
  <TitlesOfParts>
    <vt:vector size="9" baseType="lpstr">
      <vt:lpstr>견적</vt:lpstr>
      <vt:lpstr>1. 투입공수</vt:lpstr>
      <vt:lpstr>2. 공수산정근거</vt:lpstr>
      <vt:lpstr>3. 개발일정</vt:lpstr>
      <vt:lpstr>'1. 투입공수'!Print_Area</vt:lpstr>
      <vt:lpstr>'2. 공수산정근거'!Print_Area</vt:lpstr>
      <vt:lpstr>'3. 개발일정'!Print_Area</vt:lpstr>
      <vt:lpstr>견적!Print_Area</vt:lpstr>
      <vt:lpstr>견적!Print_Titles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2026-02-26T02:43:49Z</dcterms:created>
  <dcterms:modified xsi:type="dcterms:W3CDTF">2026-02-26T02:49:35Z</dcterms:modified>
</cp:coreProperties>
</file>