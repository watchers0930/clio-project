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1. MJIT\02. GST\03. 2026년\"/>
    </mc:Choice>
  </mc:AlternateContent>
  <xr:revisionPtr revIDLastSave="0" documentId="13_ncr:1_{12646329-B317-49CE-9AFC-9DD3F5A3C491}" xr6:coauthVersionLast="47" xr6:coauthVersionMax="47" xr10:uidLastSave="{00000000-0000-0000-0000-000000000000}"/>
  <bookViews>
    <workbookView xWindow="-120" yWindow="-120" windowWidth="29040" windowHeight="17520" tabRatio="667" xr2:uid="{00000000-000D-0000-FFFF-FFFF00000000}"/>
  </bookViews>
  <sheets>
    <sheet name="견적" sheetId="19" r:id="rId1"/>
  </sheets>
  <definedNames>
    <definedName name="_8_________S" hidden="1">#REF!</definedName>
    <definedName name="_9_______0_S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_ㅣㅐㅈ" hidden="1">#REF!</definedName>
    <definedName name="A1_00근거" localSheetId="0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ccessDatabase" hidden="1">"C:\My Documents\SCD\업무연락안양식.mdb"</definedName>
    <definedName name="BILL_TO_ADDRESS" localSheetId="0">#REF!</definedName>
    <definedName name="BILL_TO_ADDRESS">#REF!</definedName>
    <definedName name="BILL_TO_CONTACT" localSheetId="0">#REF!</definedName>
    <definedName name="BILL_TO_CONTACT">#REF!</definedName>
    <definedName name="BILL_TO_LABEL" localSheetId="0">#REF!</definedName>
    <definedName name="BILL_TO_LABEL">#REF!</definedName>
    <definedName name="BILL_TO_NAME" localSheetId="0">#REF!</definedName>
    <definedName name="BILL_TO_NAME">#REF!</definedName>
    <definedName name="BILL_TO_PHONE" localSheetId="0">#REF!</definedName>
    <definedName name="BILL_TO_PHONE">#REF!</definedName>
    <definedName name="BRS_FLOOR_ANALYSIS_LINES_TO_FORMAT0" localSheetId="0">#REF!</definedName>
    <definedName name="BRS_FLOOR_ANALYSIS_LINES_TO_FORMAT0">#REF!</definedName>
    <definedName name="BRS_FLOOR_ANALYSIS_LINES_TO_FORMAT1" localSheetId="0">#REF!</definedName>
    <definedName name="BRS_FLOOR_ANALYSIS_LINES_TO_FORMAT1">#REF!</definedName>
    <definedName name="BRS_FLOOR_ANALYSIS_SECTION" localSheetId="0">#REF!</definedName>
    <definedName name="BRS_FLOOR_ANALYSIS_SECTION">#REF!</definedName>
    <definedName name="CBWorkbookPriority" hidden="1">-1929190545</definedName>
    <definedName name="CFG_SECTION" localSheetId="0">#REF!</definedName>
    <definedName name="CFG_SECTION">#REF!</definedName>
    <definedName name="CFG_SUBTOTAL_ALL" localSheetId="0">#REF!</definedName>
    <definedName name="CFG_SUBTOTAL_ALL">#REF!</definedName>
    <definedName name="CFG_SUBTOTAL_HW" localSheetId="0">#REF!</definedName>
    <definedName name="CFG_SUBTOTAL_HW">#REF!</definedName>
    <definedName name="CFG_SUBTOTAL_MW" localSheetId="0">#REF!</definedName>
    <definedName name="CFG_SUBTOTAL_MW">#REF!</definedName>
    <definedName name="CFG_SUBTOTAL_PS" localSheetId="0">#REF!</definedName>
    <definedName name="CFG_SUBTOTAL_PS">#REF!</definedName>
    <definedName name="CFG_SUBTOTAL_SECTION" localSheetId="0">#REF!</definedName>
    <definedName name="CFG_SUBTOTAL_SECTION">#REF!</definedName>
    <definedName name="CFG_SUBTOTAL_SW" localSheetId="0">#REF!</definedName>
    <definedName name="CFG_SUBTOTAL_SW">#REF!</definedName>
    <definedName name="CFG_TITLE_FLD_CFG_NAME" localSheetId="0">#REF!</definedName>
    <definedName name="CFG_TITLE_FLD_CFG_NAME">#REF!</definedName>
    <definedName name="CFG_TITLE_SECTION" localSheetId="0">#REF!</definedName>
    <definedName name="CFG_TITLE_SECTION">#REF!</definedName>
    <definedName name="consulgin" localSheetId="0" hidden="1">{"'Price List '!$A$1:$R$156"}</definedName>
    <definedName name="consulgin" hidden="1">{"'Price List '!$A$1:$R$156"}</definedName>
    <definedName name="CSI_FLD_CSI_DESCRIPTION" localSheetId="0">#REF!</definedName>
    <definedName name="CSI_FLD_CSI_DESCRIPTION">#REF!</definedName>
    <definedName name="CSI_FLD_CSI_NAME" localSheetId="0">#REF!</definedName>
    <definedName name="CSI_FLD_CSI_NAME">#REF!</definedName>
    <definedName name="CSI_FLD_CSI_SERIAL_NUMBER" localSheetId="0">#REF!</definedName>
    <definedName name="CSI_FLD_CSI_SERIAL_NUMBER">#REF!</definedName>
    <definedName name="CSI_LABEL_FORCOPY_SERIAL_NUMBER" localSheetId="0">#REF!</definedName>
    <definedName name="CSI_LABEL_FORCOPY_SERIAL_NUMBER">#REF!</definedName>
    <definedName name="CSI_LABEL_HEADERS" localSheetId="0">#REF!</definedName>
    <definedName name="CSI_LABEL_HEADERS">#REF!</definedName>
    <definedName name="CSI_LINE_HW" localSheetId="0">#REF!</definedName>
    <definedName name="CSI_LINE_HW">#REF!</definedName>
    <definedName name="CSI_LINE_MW" localSheetId="0">#REF!</definedName>
    <definedName name="CSI_LINE_MW">#REF!</definedName>
    <definedName name="CSI_LINE_PS" localSheetId="0">#REF!</definedName>
    <definedName name="CSI_LINE_PS">#REF!</definedName>
    <definedName name="CSI_LINE_SW" localSheetId="0">#REF!</definedName>
    <definedName name="CSI_LINE_SW">#REF!</definedName>
    <definedName name="CSI_SECTION_HW_ALL" localSheetId="0">#REF!</definedName>
    <definedName name="CSI_SECTION_HW_ALL">#REF!</definedName>
    <definedName name="CSI_SECTION_HW_BOT" localSheetId="0">#REF!</definedName>
    <definedName name="CSI_SECTION_HW_BOT">#REF!</definedName>
    <definedName name="CSI_SECTION_HW_TOP" localSheetId="0">#REF!</definedName>
    <definedName name="CSI_SECTION_HW_TOP">#REF!</definedName>
    <definedName name="CSI_SECTION_MW_ALL" localSheetId="0">#REF!</definedName>
    <definedName name="CSI_SECTION_MW_ALL">#REF!</definedName>
    <definedName name="CSI_SECTION_MW_BOT" localSheetId="0">#REF!</definedName>
    <definedName name="CSI_SECTION_MW_BOT">#REF!</definedName>
    <definedName name="CSI_SECTION_MW_TOP" localSheetId="0">#REF!</definedName>
    <definedName name="CSI_SECTION_MW_TOP">#REF!</definedName>
    <definedName name="CSI_SECTION_PS_ALL" localSheetId="0">#REF!</definedName>
    <definedName name="CSI_SECTION_PS_ALL">#REF!</definedName>
    <definedName name="CSI_SECTION_PS_BOT" localSheetId="0">#REF!</definedName>
    <definedName name="CSI_SECTION_PS_BOT">#REF!</definedName>
    <definedName name="CSI_SECTION_PS_TOP" localSheetId="0">#REF!</definedName>
    <definedName name="CSI_SECTION_PS_TOP">#REF!</definedName>
    <definedName name="CSI_SECTION_SW_ALL" localSheetId="0">#REF!</definedName>
    <definedName name="CSI_SECTION_SW_ALL">#REF!</definedName>
    <definedName name="CSI_SECTION_SW_BOT" localSheetId="0">#REF!</definedName>
    <definedName name="CSI_SECTION_SW_BOT">#REF!</definedName>
    <definedName name="CSI_SECTION_SW_TOP" localSheetId="0">#REF!</definedName>
    <definedName name="CSI_SECTION_SW_TOP">#REF!</definedName>
    <definedName name="CSI_SECTION_TITLE" localSheetId="0">#REF!</definedName>
    <definedName name="CSI_SECTION_TITLE">#REF!</definedName>
    <definedName name="CSI_SUBTOTAL_HW" localSheetId="0">#REF!</definedName>
    <definedName name="CSI_SUBTOTAL_HW">#REF!</definedName>
    <definedName name="CSI_SUBTOTAL_MW" localSheetId="0">#REF!</definedName>
    <definedName name="CSI_SUBTOTAL_MW">#REF!</definedName>
    <definedName name="CSI_SUBTOTAL_PS" localSheetId="0">#REF!</definedName>
    <definedName name="CSI_SUBTOTAL_PS">#REF!</definedName>
    <definedName name="CSI_SUBTOTAL_SW" localSheetId="0">#REF!</definedName>
    <definedName name="CSI_SUBTOTAL_SW">#REF!</definedName>
    <definedName name="CurrBase">#REF!</definedName>
    <definedName name="EMC_ADDRESS" localSheetId="0">#REF!</definedName>
    <definedName name="EMC_ADDRESS">#REF!</definedName>
    <definedName name="EMC_BM_TABLE_HEADER" localSheetId="0">#REF!</definedName>
    <definedName name="EMC_BM_TABLE_HEADER">#REF!</definedName>
    <definedName name="EMC_BUSINESS_MONITORING" localSheetId="0">#REF!</definedName>
    <definedName name="EMC_BUSINESS_MONITORING">#REF!</definedName>
    <definedName name="EMC_NO_RULES_BROKEN" localSheetId="0">#REF!</definedName>
    <definedName name="EMC_NO_RULES_BROKEN">#REF!</definedName>
    <definedName name="FJD" localSheetId="0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LOOR_ANALYSIS_LINES_TO_FORMAT0" localSheetId="0">#REF!</definedName>
    <definedName name="FLOOR_ANALYSIS_LINES_TO_FORMAT0">#REF!</definedName>
    <definedName name="FLOOR_ANALYSIS_LINES_TO_FORMAT1" localSheetId="0">#REF!</definedName>
    <definedName name="FLOOR_ANALYSIS_LINES_TO_FORMAT1">#REF!</definedName>
    <definedName name="FLOOR_ANALYSIS_SECTION" localSheetId="0">#REF!</definedName>
    <definedName name="FLOOR_ANALYSIS_SECTION">#REF!</definedName>
    <definedName name="FX_RATE">#REF!</definedName>
    <definedName name="GSA_HEADER_FIELDS" localSheetId="0">#REF!</definedName>
    <definedName name="GSA_HEADER_FIELDS">#REF!</definedName>
    <definedName name="HTML_CodePage" hidden="1">1252</definedName>
    <definedName name="HTML_Control" localSheetId="0" hidden="1">{"'Price List '!$A$1:$R$156"}</definedName>
    <definedName name="HTML_Control" hidden="1">{"'Price List '!$A$1:$R$156"}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"C:\Temp\infoprice\051900\MyHTML.htm"</definedName>
    <definedName name="HTML_Title" hidden="1">"ePL5_19b"</definedName>
    <definedName name="HTML1_1" hidden="1">"'[디자인MXE1.xls]마북OCTANE (2)'!$A$1:$G$33"</definedName>
    <definedName name="HTML1_10" hidden="1">""</definedName>
    <definedName name="HTML1_11" hidden="1">1</definedName>
    <definedName name="HTML1_12" hidden="1">"C:\견적\현대정공\MyHTML.htm"</definedName>
    <definedName name="HTML1_2" hidden="1">1</definedName>
    <definedName name="HTML1_3" hidden="1">"디자인MXE1.xl"</definedName>
    <definedName name="HTML1_4" hidden="1">"마북OCTANE (2)"</definedName>
    <definedName name="HTML1_5" hidden="1">""</definedName>
    <definedName name="HTML1_6" hidden="1">-4146</definedName>
    <definedName name="HTML1_7" hidden="1">-4146</definedName>
    <definedName name="HTML1_8" hidden="1">"98-03-30"</definedName>
    <definedName name="HTML1_9" hidden="1">"임양택"</definedName>
    <definedName name="HTMLCount" hidden="1">1</definedName>
    <definedName name="INSTALL_AT_ADDRESS" localSheetId="0">#REF!</definedName>
    <definedName name="INSTALL_AT_ADDRESS">#REF!</definedName>
    <definedName name="INSTALL_AT_CONTACT" localSheetId="0">#REF!</definedName>
    <definedName name="INSTALL_AT_CONTACT">#REF!</definedName>
    <definedName name="INSTALL_AT_LABEL" localSheetId="0">#REF!</definedName>
    <definedName name="INSTALL_AT_LABEL">#REF!</definedName>
    <definedName name="INSTALL_AT_NAME" localSheetId="0">#REF!</definedName>
    <definedName name="INSTALL_AT_NAME">#REF!</definedName>
    <definedName name="INSTALL_AT_PHONE" localSheetId="0">#REF!</definedName>
    <definedName name="INSTALL_AT_PHONE">#REF!</definedName>
    <definedName name="KIM" localSheetId="0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MISC_FLD_TITLE" localSheetId="0">#REF!</definedName>
    <definedName name="MISC_FLD_TITLE">#REF!</definedName>
    <definedName name="MISC_LINE_HW" localSheetId="0">#REF!</definedName>
    <definedName name="MISC_LINE_HW">#REF!</definedName>
    <definedName name="MISC_LINE_PS" localSheetId="0">#REF!</definedName>
    <definedName name="MISC_LINE_PS">#REF!</definedName>
    <definedName name="MISC_LINE_SW" localSheetId="0">#REF!</definedName>
    <definedName name="MISC_LINE_SW">#REF!</definedName>
    <definedName name="MISC_SECTION_HW_ALL" localSheetId="0">#REF!</definedName>
    <definedName name="MISC_SECTION_HW_ALL">#REF!</definedName>
    <definedName name="MISC_SECTION_HW_BOT" localSheetId="0">#REF!</definedName>
    <definedName name="MISC_SECTION_HW_BOT">#REF!</definedName>
    <definedName name="MISC_SECTION_HW_TOP" localSheetId="0">#REF!</definedName>
    <definedName name="MISC_SECTION_HW_TOP">#REF!</definedName>
    <definedName name="MISC_SECTION_PS_ALL" localSheetId="0">#REF!</definedName>
    <definedName name="MISC_SECTION_PS_ALL">#REF!</definedName>
    <definedName name="MISC_SECTION_PS_BOT" localSheetId="0">#REF!</definedName>
    <definedName name="MISC_SECTION_PS_BOT">#REF!</definedName>
    <definedName name="MISC_SECTION_PS_TOP" localSheetId="0">#REF!</definedName>
    <definedName name="MISC_SECTION_PS_TOP">#REF!</definedName>
    <definedName name="MISC_SECTION_SW_ALL" localSheetId="0">#REF!</definedName>
    <definedName name="MISC_SECTION_SW_ALL">#REF!</definedName>
    <definedName name="MISC_SECTION_SW_BOT" localSheetId="0">#REF!</definedName>
    <definedName name="MISC_SECTION_SW_BOT">#REF!</definedName>
    <definedName name="MISC_SECTION_SW_TOP" localSheetId="0">#REF!</definedName>
    <definedName name="MISC_SECTION_SW_TOP">#REF!</definedName>
    <definedName name="MISC_SECTION_TITLE" localSheetId="0">#REF!</definedName>
    <definedName name="MISC_SECTION_TITLE">#REF!</definedName>
    <definedName name="MISC_SUBTOTAL_HW" localSheetId="0">#REF!</definedName>
    <definedName name="MISC_SUBTOTAL_HW">#REF!</definedName>
    <definedName name="MISC_SUBTOTAL_PS" localSheetId="0">#REF!</definedName>
    <definedName name="MISC_SUBTOTAL_PS">#REF!</definedName>
    <definedName name="MISC_SUBTOTAL_SW" localSheetId="0">#REF!</definedName>
    <definedName name="MISC_SUBTOTAL_SW">#REF!</definedName>
    <definedName name="NOTES_ZONE_0" localSheetId="0">#REF!</definedName>
    <definedName name="NOTES_ZONE_0">#REF!</definedName>
    <definedName name="NOTES_ZONE_1" localSheetId="0">#REF!</definedName>
    <definedName name="NOTES_ZONE_1">#REF!</definedName>
    <definedName name="NOTES_ZONE_2" localSheetId="0">#REF!</definedName>
    <definedName name="NOTES_ZONE_2">#REF!</definedName>
    <definedName name="OPPTY_SECTION" localSheetId="0">#REF!</definedName>
    <definedName name="OPPTY_SECTION">#REF!</definedName>
    <definedName name="PRECONTRACT_FLD_CFG_NAME" localSheetId="0">#REF!</definedName>
    <definedName name="PRECONTRACT_FLD_CFG_NAME">#REF!</definedName>
    <definedName name="PRECONTRACT_FLD_CSI_DESCIPTION" localSheetId="0">#REF!</definedName>
    <definedName name="PRECONTRACT_FLD_CSI_DESCIPTION">#REF!</definedName>
    <definedName name="PRECONTRACT_FLD_CSI_NAME" localSheetId="0">#REF!</definedName>
    <definedName name="PRECONTRACT_FLD_CSI_NAME">#REF!</definedName>
    <definedName name="PRECONTRACT_LINE" localSheetId="0">#REF!</definedName>
    <definedName name="PRECONTRACT_LINE">#REF!</definedName>
    <definedName name="PRECONTRACT_SECTION" localSheetId="0">#REF!</definedName>
    <definedName name="PRECONTRACT_SECTION">#REF!</definedName>
    <definedName name="PRECONTRACT_SECTION_CFG_TITLE" localSheetId="0">#REF!</definedName>
    <definedName name="PRECONTRACT_SECTION_CFG_TITLE">#REF!</definedName>
    <definedName name="PRECONTRACT_SECTION_CSI" localSheetId="0">#REF!</definedName>
    <definedName name="PRECONTRACT_SECTION_CSI">#REF!</definedName>
    <definedName name="PRICE_JUST_COMMENT" localSheetId="0">#REF!</definedName>
    <definedName name="PRICE_JUST_COMMENT">#REF!</definedName>
    <definedName name="_xlnm.Print_Area" localSheetId="0">견적!$A$1:$L$58</definedName>
    <definedName name="_xlnm.Print_Titles" localSheetId="0">견적!$15:$16</definedName>
    <definedName name="PROMO_SECTION" localSheetId="0">#REF!</definedName>
    <definedName name="PROMO_SECTION">#REF!</definedName>
    <definedName name="PROPOSAL_SECTION" localSheetId="0">#REF!</definedName>
    <definedName name="PROPOSAL_SECTION">#REF!</definedName>
    <definedName name="PROPOSAL_SECTION_MW" localSheetId="0">#REF!</definedName>
    <definedName name="PROPOSAL_SECTION_MW">#REF!</definedName>
    <definedName name="PROPOSAL_SUBTOTAL_HW" localSheetId="0">#REF!</definedName>
    <definedName name="PROPOSAL_SUBTOTAL_HW">#REF!</definedName>
    <definedName name="PROPOSAL_SUBTOTAL_MW_HW" localSheetId="0">#REF!</definedName>
    <definedName name="PROPOSAL_SUBTOTAL_MW_HW">#REF!</definedName>
    <definedName name="PROPOSAL_SUBTOTAL_MW_SW" localSheetId="0">#REF!</definedName>
    <definedName name="PROPOSAL_SUBTOTAL_MW_SW">#REF!</definedName>
    <definedName name="PROPOSAL_SUBTOTAL_MW_WAR" localSheetId="0">#REF!</definedName>
    <definedName name="PROPOSAL_SUBTOTAL_MW_WAR">#REF!</definedName>
    <definedName name="PROPOSAL_SUBTOTAL_PS" localSheetId="0">#REF!</definedName>
    <definedName name="PROPOSAL_SUBTOTAL_PS">#REF!</definedName>
    <definedName name="PROPOSAL_SUBTOTAL_SW" localSheetId="0">#REF!</definedName>
    <definedName name="PROPOSAL_SUBTOTAL_SW">#REF!</definedName>
    <definedName name="QQ" localSheetId="0" hidden="1">{#N/A,#N/A,FALSE,"단축1";#N/A,#N/A,FALSE,"단축2";#N/A,#N/A,FALSE,"단축3";#N/A,#N/A,FALSE,"장축";#N/A,#N/A,FALSE,"4WD"}</definedName>
    <definedName name="QQ" hidden="1">{#N/A,#N/A,FALSE,"단축1";#N/A,#N/A,FALSE,"단축2";#N/A,#N/A,FALSE,"단축3";#N/A,#N/A,FALSE,"장축";#N/A,#N/A,FALSE,"4WD"}</definedName>
    <definedName name="QUOTE_PRICEBREAK" localSheetId="0">#REF!</definedName>
    <definedName name="QUOTE_PRICEBREAK">#REF!</definedName>
    <definedName name="QUOTE_PS_PRICEBREAK" localSheetId="0">#REF!</definedName>
    <definedName name="QUOTE_PS_PRICEBREAK">#REF!</definedName>
    <definedName name="REDIRECT_SECTION" localSheetId="0">#REF!</definedName>
    <definedName name="REDIRECT_SECTION">#REF!</definedName>
    <definedName name="REPORT_LINES_TO_FORMAT" localSheetId="0">#REF!,#REF!</definedName>
    <definedName name="REPORT_LINES_TO_FORMAT">#REF!,#REF!</definedName>
    <definedName name="REPORT_LINES_TO_FORMAT0" localSheetId="0">#REF!</definedName>
    <definedName name="REPORT_LINES_TO_FORMAT0">#REF!</definedName>
    <definedName name="REPORT_LINES_TO_FORMAT1" localSheetId="0">#REF!</definedName>
    <definedName name="REPORT_LINES_TO_FORMAT1">#REF!</definedName>
    <definedName name="REPORT_LINES_TO_FORMAT2" localSheetId="0">#REF!</definedName>
    <definedName name="REPORT_LINES_TO_FORMAT2">#REF!</definedName>
    <definedName name="REPORT_TOTALS_TO_FORMAT" localSheetId="0">#REF!,#REF!,#REF!</definedName>
    <definedName name="REPORT_TOTALS_TO_FORMAT">#REF!,#REF!,#REF!</definedName>
    <definedName name="REPORT_TOTALS_TO_FORMAT0" localSheetId="0">#REF!</definedName>
    <definedName name="REPORT_TOTALS_TO_FORMAT0">#REF!</definedName>
    <definedName name="REPORT_TOTALS_TO_FORMAT1" localSheetId="0">#REF!</definedName>
    <definedName name="REPORT_TOTALS_TO_FORMAT1">#REF!</definedName>
    <definedName name="REPORT_TOTALS_TO_FORMAT2" localSheetId="0">#REF!</definedName>
    <definedName name="REPORT_TOTALS_TO_FORMAT2">#REF!</definedName>
    <definedName name="REPORT_TOTALS_TO_FORMAT3" localSheetId="0">#REF!</definedName>
    <definedName name="REPORT_TOTALS_TO_FORMAT3">#REF!</definedName>
    <definedName name="REPORT_TOTALS_TO_FORMAT4" localSheetId="0">#REF!</definedName>
    <definedName name="REPORT_TOTALS_TO_FORMAT4">#REF!</definedName>
    <definedName name="REPORT_TOTALS_TO_FORMAT5" localSheetId="0">#REF!</definedName>
    <definedName name="REPORT_TOTALS_TO_FORMAT5">#REF!</definedName>
    <definedName name="SAP" localSheetId="0" hidden="1">{"'Price List '!$A$1:$R$156"}</definedName>
    <definedName name="SAP" hidden="1">{"'Price List '!$A$1:$R$156"}</definedName>
    <definedName name="SHIP_TO_ADDRESS" localSheetId="0">#REF!</definedName>
    <definedName name="SHIP_TO_ADDRESS">#REF!</definedName>
    <definedName name="SHIP_TO_CONTACT" localSheetId="0">#REF!</definedName>
    <definedName name="SHIP_TO_CONTACT">#REF!</definedName>
    <definedName name="SHIP_TO_LABEL" localSheetId="0">#REF!</definedName>
    <definedName name="SHIP_TO_LABEL">#REF!</definedName>
    <definedName name="SHIP_TO_NAME" localSheetId="0">#REF!</definedName>
    <definedName name="SHIP_TO_NAME">#REF!</definedName>
    <definedName name="SHIP_TO_PHONE" localSheetId="0">#REF!</definedName>
    <definedName name="SHIP_TO_PHONE">#REF!</definedName>
    <definedName name="SHIPPING_ZONE_0" localSheetId="0">#REF!</definedName>
    <definedName name="SHIPPING_ZONE_0">#REF!</definedName>
    <definedName name="SHIPPING_ZONE_1" localSheetId="0">#REF!</definedName>
    <definedName name="SHIPPING_ZONE_1">#REF!</definedName>
    <definedName name="SHIPPING_ZONE_2" localSheetId="0">#REF!</definedName>
    <definedName name="SHIPPING_ZONE_2">#REF!</definedName>
    <definedName name="SOLD_TO_ADDRESS" localSheetId="0">#REF!</definedName>
    <definedName name="SOLD_TO_ADDRESS">#REF!</definedName>
    <definedName name="SOLD_TO_CONTACT" localSheetId="0">#REF!</definedName>
    <definedName name="SOLD_TO_CONTACT">#REF!</definedName>
    <definedName name="SOLD_TO_LABEL" localSheetId="0">#REF!</definedName>
    <definedName name="SOLD_TO_LABEL">#REF!</definedName>
    <definedName name="SOLD_TO_NAME" localSheetId="0">#REF!</definedName>
    <definedName name="SOLD_TO_NAME">#REF!</definedName>
    <definedName name="SOLD_TO_PHONE" localSheetId="0">#REF!</definedName>
    <definedName name="SOLD_TO_PHONE">#REF!</definedName>
    <definedName name="TRADEIN_SECTION" localSheetId="0">#REF!</definedName>
    <definedName name="TRADEIN_SECTION">#REF!</definedName>
    <definedName name="TRADEIN_SECTION_TOTAL" localSheetId="0">#REF!</definedName>
    <definedName name="TRADEIN_SECTION_TOTAL">#REF!</definedName>
    <definedName name="TT" localSheetId="0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wrn.EM.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localSheetId="0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선사." localSheetId="0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직좌.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0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견" localSheetId="0" hidden="1">{"'Price List '!$A$1:$R$156"}</definedName>
    <definedName name="견" hidden="1">{"'Price List '!$A$1:$R$156"}</definedName>
    <definedName name="근거2" localSheetId="0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형" localSheetId="0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0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단조편성표" localSheetId="0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대방총괄" localSheetId="0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ㅁ" hidden="1">#REF!</definedName>
    <definedName name="ㅁㄴㅇ" localSheetId="0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생산" localSheetId="0" hidden="1">{#N/A,#N/A,FALSE,"단축1";#N/A,#N/A,FALSE,"단축2";#N/A,#N/A,FALSE,"단축3";#N/A,#N/A,FALSE,"장축";#N/A,#N/A,FALSE,"4WD"}</definedName>
    <definedName name="생산" hidden="1">{#N/A,#N/A,FALSE,"단축1";#N/A,#N/A,FALSE,"단축2";#N/A,#N/A,FALSE,"단축3";#N/A,#N/A,FALSE,"장축";#N/A,#N/A,FALSE,"4WD"}</definedName>
    <definedName name="세부일정" localSheetId="0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0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셀리카" hidden="1">#REF!</definedName>
    <definedName name="수익4속" localSheetId="0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출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열처리" localSheetId="0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전차종" localSheetId="0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조립" localSheetId="0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카메라" localSheetId="0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통" localSheetId="0" hidden="1">{"'Price List '!$A$1:$R$156"}</definedName>
    <definedName name="통" hidden="1">{"'Price List '!$A$1:$R$156"}</definedName>
    <definedName name="투입공수" localSheetId="0" hidden="1">{"'Price List '!$A$1:$R$156"}</definedName>
    <definedName name="투입공수" hidden="1">{"'Price List '!$A$1:$R$156"}</definedName>
    <definedName name="투자CONC.182억" localSheetId="0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비교" localSheetId="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9" l="1"/>
  <c r="H24" i="19"/>
  <c r="J19" i="19"/>
  <c r="J18" i="19"/>
  <c r="J17" i="19"/>
  <c r="I17" i="19"/>
  <c r="C18" i="19" l="1"/>
  <c r="F29" i="19" l="1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28" i="19"/>
  <c r="G37" i="19" l="1"/>
  <c r="H37" i="19"/>
  <c r="G36" i="19"/>
  <c r="H36" i="19" s="1"/>
  <c r="G18" i="19" s="1"/>
  <c r="I18" i="19" s="1"/>
  <c r="G35" i="19"/>
  <c r="H35" i="19" s="1"/>
  <c r="G34" i="19"/>
  <c r="H34" i="19"/>
  <c r="G33" i="19"/>
  <c r="H33" i="19" s="1"/>
  <c r="G32" i="19"/>
  <c r="H32" i="19" s="1"/>
  <c r="G31" i="19"/>
  <c r="H31" i="19"/>
  <c r="G30" i="19"/>
  <c r="H30" i="19" s="1"/>
  <c r="G29" i="19"/>
  <c r="H29" i="19" s="1"/>
  <c r="G43" i="19"/>
  <c r="H43" i="19" s="1"/>
  <c r="G28" i="19"/>
  <c r="H28" i="19" s="1"/>
  <c r="G44" i="19"/>
  <c r="H44" i="19" s="1"/>
  <c r="G42" i="19"/>
  <c r="H42" i="19"/>
  <c r="G41" i="19"/>
  <c r="H41" i="19" s="1"/>
  <c r="G40" i="19"/>
  <c r="H40" i="19"/>
  <c r="G39" i="19"/>
  <c r="H39" i="19" s="1"/>
  <c r="G38" i="19"/>
  <c r="H38" i="19" s="1"/>
  <c r="I19" i="19" l="1"/>
  <c r="G19" i="19"/>
  <c r="F19" i="19" l="1"/>
  <c r="D13" i="19" l="1"/>
  <c r="C8" i="19" s="1"/>
</calcChain>
</file>

<file path=xl/sharedStrings.xml><?xml version="1.0" encoding="utf-8"?>
<sst xmlns="http://schemas.openxmlformats.org/spreadsheetml/2006/main" count="72" uniqueCount="68">
  <si>
    <t xml:space="preserve">견   적   서 </t>
  </si>
  <si>
    <t>아래와 같이 견적합니다.</t>
  </si>
  <si>
    <t xml:space="preserve">견 적 금 액 (VAT 별도)  : </t>
  </si>
  <si>
    <t>(단위: 원)</t>
    <phoneticPr fontId="9" type="noConversion"/>
  </si>
  <si>
    <t>공    급    가    합    계(VAT별도)</t>
    <phoneticPr fontId="9" type="noConversion"/>
  </si>
  <si>
    <t>일노임단가</t>
  </si>
  <si>
    <t>월노임단가</t>
  </si>
  <si>
    <t>제경비</t>
  </si>
  <si>
    <t>기술료</t>
  </si>
  <si>
    <t>1. IT기획자</t>
  </si>
  <si>
    <t>2. IT컨설턴트</t>
  </si>
  <si>
    <t>(주)엠제이아이티</t>
    <phoneticPr fontId="9" type="noConversion"/>
  </si>
  <si>
    <t>성명</t>
    <phoneticPr fontId="9" type="noConversion"/>
  </si>
  <si>
    <t>MM단가</t>
    <phoneticPr fontId="9" type="noConversion"/>
  </si>
  <si>
    <t>합계</t>
    <phoneticPr fontId="9" type="noConversion"/>
  </si>
  <si>
    <t>대표이사 김 미 정</t>
    <phoneticPr fontId="9" type="noConversion"/>
  </si>
  <si>
    <t>비고</t>
    <phoneticPr fontId="9" type="noConversion"/>
  </si>
  <si>
    <t>1. 본 견적은 상기 고객사에만 적용됩니다.</t>
    <phoneticPr fontId="9" type="noConversion"/>
  </si>
  <si>
    <t>비   고</t>
    <phoneticPr fontId="9" type="noConversion"/>
  </si>
  <si>
    <t>제안금액</t>
    <phoneticPr fontId="9" type="noConversion"/>
  </si>
  <si>
    <t>MM</t>
    <phoneticPr fontId="9" type="noConversion"/>
  </si>
  <si>
    <t>종 목</t>
    <phoneticPr fontId="9" type="noConversion"/>
  </si>
  <si>
    <t>담    당    자</t>
  </si>
  <si>
    <t>견적일로부터 30일</t>
    <phoneticPr fontId="9" type="noConversion"/>
  </si>
  <si>
    <t>견적유효기간</t>
  </si>
  <si>
    <t>결  제  조  건</t>
  </si>
  <si>
    <t>납           기</t>
    <phoneticPr fontId="9" type="noConversion"/>
  </si>
  <si>
    <t>견  적  일  자</t>
  </si>
  <si>
    <t>참      조</t>
  </si>
  <si>
    <t>견  적  번  호</t>
  </si>
  <si>
    <t>할인률</t>
    <phoneticPr fontId="9" type="noConversion"/>
  </si>
  <si>
    <t>만원단위절사</t>
    <phoneticPr fontId="9" type="noConversion"/>
  </si>
  <si>
    <t>2. 결제조건 : 고객사 지급조건에 따릅니다.</t>
    <phoneticPr fontId="9" type="noConversion"/>
  </si>
  <si>
    <r>
      <rPr>
        <sz val="24"/>
        <rFont val="Impact"/>
        <family val="2"/>
      </rPr>
      <t>MJ</t>
    </r>
    <r>
      <rPr>
        <sz val="24"/>
        <color indexed="10"/>
        <rFont val="Impact"/>
        <family val="2"/>
      </rPr>
      <t>I</t>
    </r>
    <r>
      <rPr>
        <sz val="24"/>
        <color indexed="23"/>
        <rFont val="Impact"/>
        <family val="2"/>
      </rPr>
      <t>T</t>
    </r>
    <r>
      <rPr>
        <b/>
        <sz val="9"/>
        <rFont val="맑은 고딕"/>
        <family val="3"/>
        <charset val="129"/>
      </rPr>
      <t>(주)엠제이아이티</t>
    </r>
    <phoneticPr fontId="9" type="noConversion"/>
  </si>
  <si>
    <t>경기도 성남시 중원구 사기막골로 62번길 33, 성남센터엠지식산업센터 S1207</t>
    <phoneticPr fontId="9" type="noConversion"/>
  </si>
  <si>
    <t>상세업무</t>
    <phoneticPr fontId="9" type="noConversion"/>
  </si>
  <si>
    <t>3. 업무분석가</t>
    <phoneticPr fontId="9" type="noConversion"/>
  </si>
  <si>
    <t>4. 데이터분석사</t>
    <phoneticPr fontId="9" type="noConversion"/>
  </si>
  <si>
    <t>6. IT 아키덱트</t>
    <phoneticPr fontId="9" type="noConversion"/>
  </si>
  <si>
    <t>7. UI/UX기획/개발자</t>
    <phoneticPr fontId="9" type="noConversion"/>
  </si>
  <si>
    <t>8. UI/UX디자이너</t>
    <phoneticPr fontId="9" type="noConversion"/>
  </si>
  <si>
    <t>9. 응용SW개발자</t>
    <phoneticPr fontId="9" type="noConversion"/>
  </si>
  <si>
    <t>10. 시스템SW개발자</t>
    <phoneticPr fontId="9" type="noConversion"/>
  </si>
  <si>
    <t>11. 정보시스템운용자</t>
    <phoneticPr fontId="9" type="noConversion"/>
  </si>
  <si>
    <t>12. IT지원기술자</t>
    <phoneticPr fontId="9" type="noConversion"/>
  </si>
  <si>
    <t>13. IT마케터</t>
    <phoneticPr fontId="9" type="noConversion"/>
  </si>
  <si>
    <t>14. IT품질관리자</t>
    <phoneticPr fontId="9" type="noConversion"/>
  </si>
  <si>
    <t>15. IT테스터</t>
    <phoneticPr fontId="9" type="noConversion"/>
  </si>
  <si>
    <t>16. IT감리</t>
    <phoneticPr fontId="9" type="noConversion"/>
  </si>
  <si>
    <t>17. 정보보안전문가</t>
    <phoneticPr fontId="9" type="noConversion"/>
  </si>
  <si>
    <t>견적 금액</t>
    <phoneticPr fontId="9" type="noConversion"/>
  </si>
  <si>
    <t>역할</t>
    <phoneticPr fontId="9" type="noConversion"/>
  </si>
  <si>
    <t>5. IT PM</t>
    <phoneticPr fontId="9" type="noConversion"/>
  </si>
  <si>
    <t>견  적  명</t>
    <phoneticPr fontId="9" type="noConversion"/>
  </si>
  <si>
    <t>2026년 SW기술자 노임단가</t>
    <phoneticPr fontId="9" type="noConversion"/>
  </si>
  <si>
    <t>제안단가</t>
    <phoneticPr fontId="9" type="noConversion"/>
  </si>
  <si>
    <t>기준단가</t>
    <phoneticPr fontId="9" type="noConversion"/>
  </si>
  <si>
    <t>월별 분할 지급</t>
    <phoneticPr fontId="9" type="noConversion"/>
  </si>
  <si>
    <t>현금</t>
  </si>
  <si>
    <t>강석남이사(010-5644-7920)</t>
    <phoneticPr fontId="9" type="noConversion"/>
  </si>
  <si>
    <t>MJ260113-001</t>
    <phoneticPr fontId="9" type="noConversion"/>
  </si>
  <si>
    <t>㈜글로벌스탠다드테크놀로지 귀중</t>
    <phoneticPr fontId="9" type="noConversion"/>
  </si>
  <si>
    <t>송승빈팀장님</t>
    <phoneticPr fontId="9" type="noConversion"/>
  </si>
  <si>
    <t>이동현</t>
    <phoneticPr fontId="9" type="noConversion"/>
  </si>
  <si>
    <t>시스템유지보수</t>
    <phoneticPr fontId="9" type="noConversion"/>
  </si>
  <si>
    <t>'26.1.1~'26.4.30</t>
    <phoneticPr fontId="9" type="noConversion"/>
  </si>
  <si>
    <t>'26.5.1~'26.12.31</t>
    <phoneticPr fontId="9" type="noConversion"/>
  </si>
  <si>
    <t>웹시스템 IT 서비스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</si>
</sst>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-[$₩-412]* #,##0.00_-;\-[$₩-412]* #,##0.00_-;_-[$₩-412]* &quot;-&quot;??_-;_-@_-"/>
    <numFmt numFmtId="177" formatCode="&quot;₩&quot;#,##0&quot;원&quot;"/>
    <numFmt numFmtId="178" formatCode="#,##0\ &quot;원&quot;"/>
    <numFmt numFmtId="179" formatCode="mm&quot;월&quot;\ dd&quot;일&quot;"/>
    <numFmt numFmtId="180" formatCode="#,##0_ "/>
    <numFmt numFmtId="181" formatCode="0.00_ "/>
    <numFmt numFmtId="182" formatCode="0.0%"/>
  </numFmts>
  <fonts count="6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2"/>
      <name val="굴림"/>
      <family val="3"/>
      <charset val="129"/>
    </font>
    <font>
      <sz val="12"/>
      <color indexed="8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u/>
      <sz val="11"/>
      <name val="맑은 고딕"/>
      <family val="3"/>
      <charset val="129"/>
    </font>
    <font>
      <sz val="8"/>
      <name val="맑은 고딕"/>
      <family val="3"/>
      <charset val="129"/>
    </font>
    <font>
      <sz val="7.5"/>
      <name val="맑은 고딕"/>
      <family val="3"/>
      <charset val="129"/>
    </font>
    <font>
      <b/>
      <u/>
      <sz val="9"/>
      <name val="맑은 고딕"/>
      <family val="3"/>
      <charset val="129"/>
    </font>
    <font>
      <u/>
      <sz val="9"/>
      <name val="맑은 고딕"/>
      <family val="3"/>
      <charset val="129"/>
    </font>
    <font>
      <sz val="9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b/>
      <sz val="12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HY헤드라인M"/>
      <family val="1"/>
      <charset val="129"/>
    </font>
    <font>
      <sz val="9"/>
      <name val="HY헤드라인M"/>
      <family val="1"/>
      <charset val="129"/>
    </font>
    <font>
      <sz val="10"/>
      <name val="Tahoma"/>
      <family val="2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Helv"/>
      <family val="2"/>
    </font>
    <font>
      <sz val="9"/>
      <name val="돋움체"/>
      <family val="3"/>
      <charset val="129"/>
    </font>
    <font>
      <sz val="8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sz val="11"/>
      <name val="Tahoma"/>
      <family val="2"/>
    </font>
    <font>
      <sz val="9"/>
      <name val="굴림"/>
      <family val="3"/>
      <charset val="129"/>
    </font>
    <font>
      <sz val="10"/>
      <name val="Arial"/>
      <family val="2"/>
    </font>
    <font>
      <sz val="1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b/>
      <i/>
      <sz val="12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Tahoma"/>
      <family val="2"/>
    </font>
    <font>
      <b/>
      <sz val="11"/>
      <name val="맑은 고딕"/>
      <family val="3"/>
      <charset val="129"/>
    </font>
    <font>
      <b/>
      <sz val="18"/>
      <name val="맑은 고딕"/>
      <family val="3"/>
      <charset val="129"/>
    </font>
    <font>
      <b/>
      <sz val="24"/>
      <name val="맑은 고딕"/>
      <family val="2"/>
      <charset val="129"/>
    </font>
    <font>
      <sz val="24"/>
      <name val="Impact"/>
      <family val="2"/>
    </font>
    <font>
      <sz val="24"/>
      <color indexed="10"/>
      <name val="Impact"/>
      <family val="2"/>
    </font>
    <font>
      <sz val="24"/>
      <color indexed="23"/>
      <name val="Impact"/>
      <family val="2"/>
    </font>
    <font>
      <b/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8"/>
      <color rgb="FF333333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6"/>
      <name val="맑은 고딕"/>
      <family val="3"/>
      <charset val="129"/>
    </font>
    <font>
      <u/>
      <sz val="6"/>
      <name val="맑은 고딕"/>
      <family val="3"/>
      <charset val="129"/>
    </font>
    <font>
      <b/>
      <sz val="6"/>
      <name val="맑은 고딕"/>
      <family val="3"/>
      <charset val="129"/>
    </font>
    <font>
      <sz val="6"/>
      <name val="Tahoma"/>
      <family val="2"/>
    </font>
    <font>
      <sz val="6"/>
      <name val="맑은 고딕"/>
      <family val="3"/>
      <charset val="129"/>
      <scheme val="minor"/>
    </font>
    <font>
      <sz val="6"/>
      <name val="굴림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1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1" fillId="0" borderId="0">
      <alignment vertical="center"/>
    </xf>
    <xf numFmtId="0" fontId="33" fillId="0" borderId="0"/>
    <xf numFmtId="0" fontId="39" fillId="0" borderId="0"/>
    <xf numFmtId="41" fontId="8" fillId="0" borderId="0" applyFon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10" fillId="0" borderId="0" xfId="15" applyFont="1" applyAlignment="1">
      <alignment vertical="center"/>
    </xf>
    <xf numFmtId="0" fontId="19" fillId="5" borderId="2" xfId="15" applyFont="1" applyFill="1" applyBorder="1" applyAlignment="1">
      <alignment vertical="center"/>
    </xf>
    <xf numFmtId="49" fontId="18" fillId="0" borderId="2" xfId="15" applyNumberFormat="1" applyFont="1" applyBorder="1" applyAlignment="1">
      <alignment horizontal="center" vertical="center" wrapText="1"/>
    </xf>
    <xf numFmtId="0" fontId="20" fillId="5" borderId="0" xfId="15" applyFont="1" applyFill="1" applyAlignment="1">
      <alignment vertical="center"/>
    </xf>
    <xf numFmtId="49" fontId="18" fillId="0" borderId="0" xfId="15" applyNumberFormat="1" applyFont="1" applyAlignment="1">
      <alignment horizontal="center" vertical="center" wrapText="1"/>
    </xf>
    <xf numFmtId="49" fontId="21" fillId="0" borderId="0" xfId="15" applyNumberFormat="1" applyFont="1" applyAlignment="1">
      <alignment horizontal="center" vertical="center" wrapText="1"/>
    </xf>
    <xf numFmtId="49" fontId="22" fillId="0" borderId="0" xfId="15" applyNumberFormat="1" applyFont="1" applyAlignment="1">
      <alignment horizontal="center" vertical="center" wrapText="1"/>
    </xf>
    <xf numFmtId="0" fontId="23" fillId="0" borderId="0" xfId="15" applyFont="1" applyAlignment="1">
      <alignment vertical="center"/>
    </xf>
    <xf numFmtId="0" fontId="25" fillId="0" borderId="0" xfId="15" applyFont="1" applyAlignment="1">
      <alignment horizontal="left" vertical="center"/>
    </xf>
    <xf numFmtId="0" fontId="26" fillId="0" borderId="0" xfId="15" applyFont="1" applyAlignment="1">
      <alignment horizontal="center" vertical="center"/>
    </xf>
    <xf numFmtId="0" fontId="27" fillId="0" borderId="0" xfId="15" applyFont="1" applyAlignment="1">
      <alignment vertical="center" wrapText="1"/>
    </xf>
    <xf numFmtId="0" fontId="26" fillId="0" borderId="0" xfId="15" applyFont="1" applyAlignment="1">
      <alignment vertical="center"/>
    </xf>
    <xf numFmtId="0" fontId="27" fillId="5" borderId="10" xfId="15" applyFont="1" applyFill="1" applyBorder="1" applyAlignment="1">
      <alignment vertical="center"/>
    </xf>
    <xf numFmtId="177" fontId="27" fillId="5" borderId="10" xfId="15" applyNumberFormat="1" applyFont="1" applyFill="1" applyBorder="1" applyAlignment="1">
      <alignment horizontal="center" vertical="center"/>
    </xf>
    <xf numFmtId="178" fontId="27" fillId="0" borderId="10" xfId="15" applyNumberFormat="1" applyFont="1" applyBorder="1" applyAlignment="1">
      <alignment vertical="center" wrapText="1"/>
    </xf>
    <xf numFmtId="0" fontId="26" fillId="0" borderId="0" xfId="15" applyFont="1" applyAlignment="1">
      <alignment horizontal="left" vertical="center"/>
    </xf>
    <xf numFmtId="41" fontId="26" fillId="0" borderId="0" xfId="15" applyNumberFormat="1" applyFont="1" applyAlignment="1">
      <alignment horizontal="right" vertical="center"/>
    </xf>
    <xf numFmtId="0" fontId="28" fillId="5" borderId="0" xfId="15" applyFont="1" applyFill="1" applyAlignment="1">
      <alignment horizontal="left" vertical="center"/>
    </xf>
    <xf numFmtId="49" fontId="29" fillId="5" borderId="0" xfId="15" applyNumberFormat="1" applyFont="1" applyFill="1" applyAlignment="1">
      <alignment horizontal="left" vertical="center"/>
    </xf>
    <xf numFmtId="0" fontId="30" fillId="5" borderId="0" xfId="15" applyFont="1" applyFill="1" applyAlignment="1">
      <alignment vertical="center"/>
    </xf>
    <xf numFmtId="38" fontId="30" fillId="5" borderId="0" xfId="3" applyNumberFormat="1" applyFont="1" applyFill="1" applyAlignment="1">
      <alignment vertical="center"/>
    </xf>
    <xf numFmtId="38" fontId="30" fillId="5" borderId="0" xfId="15" applyNumberFormat="1" applyFont="1" applyFill="1" applyAlignment="1">
      <alignment horizontal="right" vertical="center"/>
    </xf>
    <xf numFmtId="0" fontId="16" fillId="5" borderId="0" xfId="15" applyFont="1" applyFill="1" applyAlignment="1">
      <alignment horizontal="right" vertical="center"/>
    </xf>
    <xf numFmtId="0" fontId="31" fillId="3" borderId="11" xfId="15" applyFont="1" applyFill="1" applyBorder="1" applyAlignment="1">
      <alignment horizontal="center" vertical="center"/>
    </xf>
    <xf numFmtId="0" fontId="32" fillId="0" borderId="0" xfId="15" applyFont="1" applyAlignment="1">
      <alignment vertical="center"/>
    </xf>
    <xf numFmtId="0" fontId="34" fillId="0" borderId="0" xfId="15" applyFont="1" applyAlignment="1">
      <alignment vertical="center"/>
    </xf>
    <xf numFmtId="0" fontId="37" fillId="5" borderId="0" xfId="15" applyFont="1" applyFill="1" applyAlignment="1">
      <alignment vertical="center"/>
    </xf>
    <xf numFmtId="38" fontId="37" fillId="5" borderId="0" xfId="15" applyNumberFormat="1" applyFont="1" applyFill="1" applyAlignment="1">
      <alignment vertical="center"/>
    </xf>
    <xf numFmtId="38" fontId="37" fillId="5" borderId="0" xfId="3" applyNumberFormat="1" applyFont="1" applyFill="1" applyAlignment="1">
      <alignment vertical="center"/>
    </xf>
    <xf numFmtId="49" fontId="37" fillId="5" borderId="0" xfId="15" applyNumberFormat="1" applyFont="1" applyFill="1" applyAlignment="1">
      <alignment vertical="center"/>
    </xf>
    <xf numFmtId="0" fontId="37" fillId="5" borderId="0" xfId="15" applyFont="1" applyFill="1" applyAlignment="1">
      <alignment horizontal="center" vertical="center"/>
    </xf>
    <xf numFmtId="0" fontId="23" fillId="0" borderId="0" xfId="15" applyFont="1" applyAlignment="1">
      <alignment horizontal="right" vertical="center"/>
    </xf>
    <xf numFmtId="0" fontId="38" fillId="0" borderId="0" xfId="15" applyFont="1" applyAlignment="1">
      <alignment vertical="center"/>
    </xf>
    <xf numFmtId="0" fontId="40" fillId="0" borderId="0" xfId="39" applyFont="1" applyAlignment="1">
      <alignment horizontal="left" vertical="center" wrapText="1"/>
    </xf>
    <xf numFmtId="0" fontId="44" fillId="5" borderId="0" xfId="15" applyFont="1" applyFill="1" applyAlignment="1">
      <alignment vertical="center"/>
    </xf>
    <xf numFmtId="38" fontId="31" fillId="3" borderId="3" xfId="3" applyNumberFormat="1" applyFont="1" applyFill="1" applyBorder="1" applyAlignment="1">
      <alignment horizontal="center" vertical="center"/>
    </xf>
    <xf numFmtId="0" fontId="31" fillId="3" borderId="31" xfId="15" applyFont="1" applyFill="1" applyBorder="1" applyAlignment="1">
      <alignment horizontal="center" vertical="center"/>
    </xf>
    <xf numFmtId="49" fontId="31" fillId="3" borderId="19" xfId="15" applyNumberFormat="1" applyFont="1" applyFill="1" applyBorder="1" applyAlignment="1">
      <alignment horizontal="center" vertical="center"/>
    </xf>
    <xf numFmtId="179" fontId="23" fillId="0" borderId="0" xfId="15" applyNumberFormat="1" applyFont="1" applyAlignment="1">
      <alignment horizontal="left" vertical="center"/>
    </xf>
    <xf numFmtId="0" fontId="23" fillId="0" borderId="0" xfId="15" applyFont="1" applyAlignment="1">
      <alignment horizontal="left" vertical="center"/>
    </xf>
    <xf numFmtId="0" fontId="26" fillId="0" borderId="0" xfId="15" applyFont="1" applyAlignment="1">
      <alignment vertical="center" wrapText="1"/>
    </xf>
    <xf numFmtId="0" fontId="10" fillId="5" borderId="0" xfId="15" applyFont="1" applyFill="1" applyAlignment="1">
      <alignment vertical="center"/>
    </xf>
    <xf numFmtId="0" fontId="23" fillId="5" borderId="0" xfId="15" applyFont="1" applyFill="1" applyAlignment="1">
      <alignment horizontal="left" vertical="center"/>
    </xf>
    <xf numFmtId="49" fontId="22" fillId="5" borderId="0" xfId="15" applyNumberFormat="1" applyFont="1" applyFill="1" applyAlignment="1">
      <alignment horizontal="center" vertical="center" wrapText="1"/>
    </xf>
    <xf numFmtId="0" fontId="23" fillId="5" borderId="0" xfId="15" applyFont="1" applyFill="1" applyAlignment="1">
      <alignment vertical="center"/>
    </xf>
    <xf numFmtId="31" fontId="23" fillId="5" borderId="0" xfId="15" applyNumberFormat="1" applyFont="1" applyFill="1" applyAlignment="1">
      <alignment horizontal="left" vertical="center"/>
    </xf>
    <xf numFmtId="49" fontId="23" fillId="0" borderId="0" xfId="15" applyNumberFormat="1" applyFont="1" applyAlignment="1">
      <alignment horizontal="left" vertical="center" wrapText="1"/>
    </xf>
    <xf numFmtId="0" fontId="45" fillId="5" borderId="0" xfId="15" applyFont="1" applyFill="1" applyAlignment="1">
      <alignment horizontal="right" vertical="center"/>
    </xf>
    <xf numFmtId="49" fontId="18" fillId="5" borderId="0" xfId="15" applyNumberFormat="1" applyFont="1" applyFill="1" applyAlignment="1">
      <alignment horizontal="center" vertical="center" wrapText="1"/>
    </xf>
    <xf numFmtId="38" fontId="31" fillId="8" borderId="17" xfId="3" applyNumberFormat="1" applyFont="1" applyFill="1" applyBorder="1" applyAlignment="1">
      <alignment horizontal="center" vertical="center"/>
    </xf>
    <xf numFmtId="177" fontId="27" fillId="5" borderId="0" xfId="15" applyNumberFormat="1" applyFont="1" applyFill="1" applyAlignment="1">
      <alignment horizontal="center" vertical="center"/>
    </xf>
    <xf numFmtId="41" fontId="32" fillId="6" borderId="1" xfId="3" applyFont="1" applyFill="1" applyBorder="1" applyAlignment="1">
      <alignment horizontal="right" vertical="center"/>
    </xf>
    <xf numFmtId="41" fontId="32" fillId="6" borderId="1" xfId="3" applyFont="1" applyFill="1" applyBorder="1" applyAlignment="1">
      <alignment vertical="center"/>
    </xf>
    <xf numFmtId="0" fontId="32" fillId="6" borderId="1" xfId="15" quotePrefix="1" applyFont="1" applyFill="1" applyBorder="1" applyAlignment="1">
      <alignment horizontal="center" vertical="center"/>
    </xf>
    <xf numFmtId="49" fontId="31" fillId="3" borderId="5" xfId="15" applyNumberFormat="1" applyFont="1" applyFill="1" applyBorder="1" applyAlignment="1">
      <alignment horizontal="center" vertical="center"/>
    </xf>
    <xf numFmtId="49" fontId="18" fillId="0" borderId="0" xfId="15" applyNumberFormat="1" applyFont="1" applyAlignment="1">
      <alignment horizontal="left" vertical="center" wrapText="1"/>
    </xf>
    <xf numFmtId="0" fontId="42" fillId="0" borderId="0" xfId="15" applyFont="1" applyAlignment="1">
      <alignment horizontal="left" vertical="center"/>
    </xf>
    <xf numFmtId="0" fontId="41" fillId="4" borderId="5" xfId="34" applyFont="1" applyFill="1" applyBorder="1" applyAlignment="1">
      <alignment horizontal="center" vertical="center"/>
    </xf>
    <xf numFmtId="3" fontId="35" fillId="0" borderId="1" xfId="34" applyNumberFormat="1" applyFont="1" applyBorder="1" applyAlignment="1">
      <alignment horizontal="center" vertical="center"/>
    </xf>
    <xf numFmtId="38" fontId="31" fillId="3" borderId="5" xfId="3" applyNumberFormat="1" applyFont="1" applyFill="1" applyBorder="1" applyAlignment="1">
      <alignment horizontal="center" vertical="center"/>
    </xf>
    <xf numFmtId="41" fontId="31" fillId="7" borderId="14" xfId="15" applyNumberFormat="1" applyFont="1" applyFill="1" applyBorder="1" applyAlignment="1">
      <alignment vertical="center"/>
    </xf>
    <xf numFmtId="9" fontId="31" fillId="7" borderId="14" xfId="3" applyNumberFormat="1" applyFont="1" applyFill="1" applyBorder="1" applyAlignment="1">
      <alignment horizontal="right" vertical="center"/>
    </xf>
    <xf numFmtId="180" fontId="31" fillId="7" borderId="14" xfId="3" applyNumberFormat="1" applyFont="1" applyFill="1" applyBorder="1" applyAlignment="1">
      <alignment horizontal="right" vertical="center"/>
    </xf>
    <xf numFmtId="0" fontId="17" fillId="5" borderId="1" xfId="15" applyFont="1" applyFill="1" applyBorder="1" applyAlignment="1">
      <alignment horizontal="center" vertical="center"/>
    </xf>
    <xf numFmtId="0" fontId="52" fillId="0" borderId="1" xfId="34" applyFont="1" applyBorder="1" applyAlignment="1">
      <alignment horizontal="center" vertical="center" wrapText="1"/>
    </xf>
    <xf numFmtId="3" fontId="53" fillId="0" borderId="1" xfId="0" applyNumberFormat="1" applyFont="1" applyBorder="1" applyAlignment="1">
      <alignment horizontal="right" vertical="center" wrapText="1"/>
    </xf>
    <xf numFmtId="41" fontId="31" fillId="7" borderId="13" xfId="3" applyFont="1" applyFill="1" applyBorder="1" applyAlignment="1">
      <alignment horizontal="right" vertical="center"/>
    </xf>
    <xf numFmtId="0" fontId="31" fillId="5" borderId="7" xfId="15" applyFont="1" applyFill="1" applyBorder="1" applyAlignment="1">
      <alignment vertical="center" wrapText="1"/>
    </xf>
    <xf numFmtId="3" fontId="32" fillId="6" borderId="1" xfId="15" quotePrefix="1" applyNumberFormat="1" applyFont="1" applyFill="1" applyBorder="1" applyAlignment="1">
      <alignment vertical="center"/>
    </xf>
    <xf numFmtId="41" fontId="37" fillId="5" borderId="0" xfId="15" applyNumberFormat="1" applyFont="1" applyFill="1" applyAlignment="1">
      <alignment vertical="center"/>
    </xf>
    <xf numFmtId="38" fontId="31" fillId="3" borderId="22" xfId="3" applyNumberFormat="1" applyFont="1" applyFill="1" applyBorder="1" applyAlignment="1">
      <alignment horizontal="center" vertical="center"/>
    </xf>
    <xf numFmtId="181" fontId="32" fillId="6" borderId="1" xfId="36" applyNumberFormat="1" applyFont="1" applyFill="1" applyBorder="1" applyAlignment="1">
      <alignment horizontal="center" vertical="center"/>
    </xf>
    <xf numFmtId="41" fontId="37" fillId="5" borderId="0" xfId="40" applyFont="1" applyFill="1" applyAlignment="1">
      <alignment vertical="center"/>
    </xf>
    <xf numFmtId="41" fontId="38" fillId="0" borderId="0" xfId="40" applyFont="1" applyAlignment="1">
      <alignment vertical="center"/>
    </xf>
    <xf numFmtId="0" fontId="55" fillId="5" borderId="0" xfId="15" applyFont="1" applyFill="1" applyAlignment="1">
      <alignment horizontal="center" vertical="center"/>
    </xf>
    <xf numFmtId="49" fontId="56" fillId="5" borderId="0" xfId="15" applyNumberFormat="1" applyFont="1" applyFill="1" applyAlignment="1">
      <alignment horizontal="center" vertical="center" wrapText="1"/>
    </xf>
    <xf numFmtId="0" fontId="57" fillId="5" borderId="0" xfId="15" applyFont="1" applyFill="1" applyAlignment="1">
      <alignment horizontal="center" vertical="center"/>
    </xf>
    <xf numFmtId="0" fontId="55" fillId="0" borderId="0" xfId="15" applyFont="1" applyAlignment="1">
      <alignment horizontal="center" vertical="center"/>
    </xf>
    <xf numFmtId="0" fontId="57" fillId="0" borderId="0" xfId="15" applyFont="1" applyAlignment="1">
      <alignment horizontal="center" vertical="center"/>
    </xf>
    <xf numFmtId="0" fontId="58" fillId="5" borderId="0" xfId="15" applyFont="1" applyFill="1" applyAlignment="1">
      <alignment vertical="center"/>
    </xf>
    <xf numFmtId="0" fontId="59" fillId="0" borderId="0" xfId="39" applyFont="1" applyAlignment="1">
      <alignment horizontal="left" vertical="center" wrapText="1"/>
    </xf>
    <xf numFmtId="0" fontId="60" fillId="0" borderId="0" xfId="15" applyFont="1" applyAlignment="1">
      <alignment vertical="center"/>
    </xf>
    <xf numFmtId="3" fontId="53" fillId="9" borderId="1" xfId="0" applyNumberFormat="1" applyFont="1" applyFill="1" applyBorder="1" applyAlignment="1">
      <alignment horizontal="right" vertical="center" wrapText="1"/>
    </xf>
    <xf numFmtId="3" fontId="35" fillId="9" borderId="1" xfId="34" applyNumberFormat="1" applyFont="1" applyFill="1" applyBorder="1" applyAlignment="1">
      <alignment horizontal="center" vertical="center"/>
    </xf>
    <xf numFmtId="2" fontId="31" fillId="7" borderId="14" xfId="15" applyNumberFormat="1" applyFont="1" applyFill="1" applyBorder="1" applyAlignment="1">
      <alignment horizontal="center" vertical="center"/>
    </xf>
    <xf numFmtId="0" fontId="23" fillId="5" borderId="9" xfId="15" applyFont="1" applyFill="1" applyBorder="1" applyAlignment="1">
      <alignment horizontal="left" vertical="center"/>
    </xf>
    <xf numFmtId="0" fontId="23" fillId="5" borderId="1" xfId="15" applyFont="1" applyFill="1" applyBorder="1" applyAlignment="1">
      <alignment horizontal="center" vertical="center"/>
    </xf>
    <xf numFmtId="0" fontId="23" fillId="5" borderId="9" xfId="15" applyFont="1" applyFill="1" applyBorder="1" applyAlignment="1">
      <alignment vertical="center"/>
    </xf>
    <xf numFmtId="0" fontId="23" fillId="5" borderId="8" xfId="15" applyFont="1" applyFill="1" applyBorder="1" applyAlignment="1">
      <alignment vertical="center"/>
    </xf>
    <xf numFmtId="0" fontId="23" fillId="0" borderId="8" xfId="15" applyFont="1" applyBorder="1" applyAlignment="1">
      <alignment vertical="center"/>
    </xf>
    <xf numFmtId="182" fontId="54" fillId="6" borderId="1" xfId="3" applyNumberFormat="1" applyFont="1" applyFill="1" applyBorder="1" applyAlignment="1">
      <alignment vertical="center"/>
    </xf>
    <xf numFmtId="0" fontId="23" fillId="5" borderId="32" xfId="15" applyFont="1" applyFill="1" applyBorder="1" applyAlignment="1">
      <alignment vertical="center"/>
    </xf>
    <xf numFmtId="0" fontId="23" fillId="5" borderId="32" xfId="15" applyFont="1" applyFill="1" applyBorder="1" applyAlignment="1">
      <alignment horizontal="left" vertical="center"/>
    </xf>
    <xf numFmtId="38" fontId="31" fillId="3" borderId="28" xfId="3" applyNumberFormat="1" applyFont="1" applyFill="1" applyBorder="1" applyAlignment="1">
      <alignment horizontal="center" vertical="center"/>
    </xf>
    <xf numFmtId="41" fontId="31" fillId="6" borderId="9" xfId="3" applyFont="1" applyFill="1" applyBorder="1" applyAlignment="1">
      <alignment vertical="center"/>
    </xf>
    <xf numFmtId="41" fontId="31" fillId="6" borderId="18" xfId="3" quotePrefix="1" applyFont="1" applyFill="1" applyBorder="1" applyAlignment="1">
      <alignment vertical="center"/>
    </xf>
    <xf numFmtId="3" fontId="35" fillId="0" borderId="9" xfId="34" applyNumberFormat="1" applyFont="1" applyBorder="1" applyAlignment="1">
      <alignment horizontal="center" vertical="center"/>
    </xf>
    <xf numFmtId="3" fontId="35" fillId="0" borderId="35" xfId="34" applyNumberFormat="1" applyFont="1" applyBorder="1" applyAlignment="1">
      <alignment horizontal="center" vertical="center"/>
    </xf>
    <xf numFmtId="38" fontId="31" fillId="8" borderId="29" xfId="3" applyNumberFormat="1" applyFont="1" applyFill="1" applyBorder="1" applyAlignment="1">
      <alignment horizontal="right" vertical="center"/>
    </xf>
    <xf numFmtId="38" fontId="31" fillId="8" borderId="16" xfId="3" applyNumberFormat="1" applyFont="1" applyFill="1" applyBorder="1" applyAlignment="1">
      <alignment horizontal="right" vertical="center"/>
    </xf>
    <xf numFmtId="38" fontId="31" fillId="8" borderId="30" xfId="3" applyNumberFormat="1" applyFont="1" applyFill="1" applyBorder="1" applyAlignment="1">
      <alignment horizontal="right" vertical="center"/>
    </xf>
    <xf numFmtId="3" fontId="35" fillId="9" borderId="9" xfId="34" applyNumberFormat="1" applyFont="1" applyFill="1" applyBorder="1" applyAlignment="1">
      <alignment horizontal="center" vertical="center"/>
    </xf>
    <xf numFmtId="3" fontId="35" fillId="9" borderId="35" xfId="34" applyNumberFormat="1" applyFont="1" applyFill="1" applyBorder="1" applyAlignment="1">
      <alignment horizontal="center" vertical="center"/>
    </xf>
    <xf numFmtId="49" fontId="17" fillId="0" borderId="10" xfId="15" applyNumberFormat="1" applyFont="1" applyBorder="1" applyAlignment="1">
      <alignment horizontal="right" vertical="center" wrapText="1"/>
    </xf>
    <xf numFmtId="0" fontId="41" fillId="4" borderId="19" xfId="34" applyFont="1" applyFill="1" applyBorder="1" applyAlignment="1">
      <alignment horizontal="center" vertical="center" wrapText="1"/>
    </xf>
    <xf numFmtId="0" fontId="41" fillId="4" borderId="34" xfId="34" applyFont="1" applyFill="1" applyBorder="1" applyAlignment="1">
      <alignment horizontal="center" vertical="center" wrapText="1"/>
    </xf>
    <xf numFmtId="0" fontId="31" fillId="5" borderId="33" xfId="15" applyFont="1" applyFill="1" applyBorder="1" applyAlignment="1">
      <alignment horizontal="center" vertical="center" wrapText="1"/>
    </xf>
    <xf numFmtId="0" fontId="31" fillId="5" borderId="12" xfId="15" applyFont="1" applyFill="1" applyBorder="1" applyAlignment="1">
      <alignment horizontal="center" vertical="center" wrapText="1"/>
    </xf>
    <xf numFmtId="0" fontId="16" fillId="0" borderId="24" xfId="38" quotePrefix="1" applyFont="1" applyBorder="1" applyAlignment="1">
      <alignment horizontal="left" vertical="center" wrapText="1"/>
    </xf>
    <xf numFmtId="0" fontId="16" fillId="0" borderId="6" xfId="38" quotePrefix="1" applyFont="1" applyBorder="1" applyAlignment="1">
      <alignment horizontal="left" vertical="center" wrapText="1"/>
    </xf>
    <xf numFmtId="0" fontId="16" fillId="0" borderId="23" xfId="38" quotePrefix="1" applyFont="1" applyBorder="1" applyAlignment="1">
      <alignment horizontal="left" vertical="center" wrapText="1"/>
    </xf>
    <xf numFmtId="49" fontId="43" fillId="0" borderId="11" xfId="38" applyNumberFormat="1" applyFont="1" applyBorder="1" applyAlignment="1">
      <alignment horizontal="center" vertical="center"/>
    </xf>
    <xf numFmtId="49" fontId="43" fillId="0" borderId="12" xfId="38" applyNumberFormat="1" applyFont="1" applyBorder="1" applyAlignment="1">
      <alignment horizontal="center" vertical="center"/>
    </xf>
    <xf numFmtId="49" fontId="43" fillId="0" borderId="7" xfId="38" applyNumberFormat="1" applyFont="1" applyBorder="1" applyAlignment="1">
      <alignment horizontal="center" vertical="center"/>
    </xf>
    <xf numFmtId="0" fontId="16" fillId="0" borderId="28" xfId="38" quotePrefix="1" applyFont="1" applyBorder="1" applyAlignment="1">
      <alignment horizontal="left" vertical="center" wrapText="1"/>
    </xf>
    <xf numFmtId="0" fontId="16" fillId="0" borderId="2" xfId="38" quotePrefix="1" applyFont="1" applyBorder="1" applyAlignment="1">
      <alignment horizontal="left" vertical="center" wrapText="1"/>
    </xf>
    <xf numFmtId="0" fontId="16" fillId="0" borderId="27" xfId="38" quotePrefix="1" applyFont="1" applyBorder="1" applyAlignment="1">
      <alignment horizontal="left" vertical="center" wrapText="1"/>
    </xf>
    <xf numFmtId="0" fontId="16" fillId="0" borderId="26" xfId="38" quotePrefix="1" applyFont="1" applyBorder="1" applyAlignment="1">
      <alignment horizontal="left" vertical="center" wrapText="1"/>
    </xf>
    <xf numFmtId="0" fontId="16" fillId="0" borderId="0" xfId="38" quotePrefix="1" applyFont="1" applyAlignment="1">
      <alignment horizontal="left" vertical="center" wrapText="1"/>
    </xf>
    <xf numFmtId="0" fontId="16" fillId="0" borderId="25" xfId="38" quotePrefix="1" applyFont="1" applyBorder="1" applyAlignment="1">
      <alignment horizontal="left" vertical="center" wrapText="1"/>
    </xf>
    <xf numFmtId="0" fontId="36" fillId="0" borderId="21" xfId="15" applyFont="1" applyBorder="1" applyAlignment="1">
      <alignment horizontal="left" vertical="center" wrapText="1"/>
    </xf>
    <xf numFmtId="0" fontId="36" fillId="0" borderId="1" xfId="15" applyFont="1" applyBorder="1" applyAlignment="1">
      <alignment horizontal="left" vertical="center" wrapText="1"/>
    </xf>
    <xf numFmtId="0" fontId="35" fillId="0" borderId="21" xfId="15" applyFont="1" applyBorder="1" applyAlignment="1">
      <alignment horizontal="left" vertical="center" wrapText="1"/>
    </xf>
    <xf numFmtId="0" fontId="35" fillId="0" borderId="1" xfId="15" applyFont="1" applyBorder="1" applyAlignment="1">
      <alignment horizontal="left" vertical="center" wrapText="1"/>
    </xf>
    <xf numFmtId="49" fontId="47" fillId="0" borderId="0" xfId="15" applyNumberFormat="1" applyFont="1" applyAlignment="1">
      <alignment horizontal="left" vertical="center" wrapText="1"/>
    </xf>
    <xf numFmtId="49" fontId="18" fillId="0" borderId="0" xfId="15" applyNumberFormat="1" applyFont="1" applyAlignment="1">
      <alignment horizontal="left" vertical="center" wrapText="1"/>
    </xf>
    <xf numFmtId="0" fontId="46" fillId="2" borderId="0" xfId="15" applyFont="1" applyFill="1" applyAlignment="1">
      <alignment horizontal="center" vertical="center"/>
    </xf>
    <xf numFmtId="0" fontId="42" fillId="0" borderId="0" xfId="15" applyFont="1" applyAlignment="1">
      <alignment horizontal="left" vertical="center"/>
    </xf>
    <xf numFmtId="31" fontId="23" fillId="5" borderId="9" xfId="15" applyNumberFormat="1" applyFont="1" applyFill="1" applyBorder="1" applyAlignment="1">
      <alignment horizontal="left" vertical="center"/>
    </xf>
    <xf numFmtId="31" fontId="23" fillId="5" borderId="32" xfId="15" applyNumberFormat="1" applyFont="1" applyFill="1" applyBorder="1" applyAlignment="1">
      <alignment horizontal="left" vertical="center"/>
    </xf>
    <xf numFmtId="31" fontId="23" fillId="5" borderId="8" xfId="15" applyNumberFormat="1" applyFont="1" applyFill="1" applyBorder="1" applyAlignment="1">
      <alignment horizontal="left" vertical="center"/>
    </xf>
    <xf numFmtId="3" fontId="35" fillId="0" borderId="8" xfId="34" applyNumberFormat="1" applyFont="1" applyBorder="1" applyAlignment="1">
      <alignment horizontal="center" vertical="center"/>
    </xf>
    <xf numFmtId="0" fontId="36" fillId="9" borderId="21" xfId="15" applyFont="1" applyFill="1" applyBorder="1" applyAlignment="1">
      <alignment horizontal="left" vertical="center" wrapText="1"/>
    </xf>
    <xf numFmtId="0" fontId="36" fillId="9" borderId="1" xfId="15" applyFont="1" applyFill="1" applyBorder="1" applyAlignment="1">
      <alignment horizontal="left" vertical="center" wrapText="1"/>
    </xf>
    <xf numFmtId="3" fontId="35" fillId="9" borderId="8" xfId="34" applyNumberFormat="1" applyFont="1" applyFill="1" applyBorder="1" applyAlignment="1">
      <alignment horizontal="center" vertical="center"/>
    </xf>
    <xf numFmtId="0" fontId="41" fillId="4" borderId="20" xfId="34" applyFont="1" applyFill="1" applyBorder="1" applyAlignment="1">
      <alignment horizontal="center" vertical="center" wrapText="1"/>
    </xf>
    <xf numFmtId="0" fontId="31" fillId="8" borderId="15" xfId="15" applyFont="1" applyFill="1" applyBorder="1" applyAlignment="1">
      <alignment horizontal="center" vertical="center"/>
    </xf>
    <xf numFmtId="0" fontId="31" fillId="8" borderId="16" xfId="15" applyFont="1" applyFill="1" applyBorder="1" applyAlignment="1">
      <alignment horizontal="center" vertical="center"/>
    </xf>
    <xf numFmtId="0" fontId="41" fillId="4" borderId="4" xfId="34" applyFont="1" applyFill="1" applyBorder="1" applyAlignment="1">
      <alignment horizontal="center" vertical="center"/>
    </xf>
    <xf numFmtId="0" fontId="41" fillId="4" borderId="5" xfId="34" applyFont="1" applyFill="1" applyBorder="1" applyAlignment="1">
      <alignment horizontal="center" vertical="center"/>
    </xf>
    <xf numFmtId="0" fontId="23" fillId="5" borderId="9" xfId="15" applyFont="1" applyFill="1" applyBorder="1" applyAlignment="1">
      <alignment horizontal="left" vertical="center"/>
    </xf>
    <xf numFmtId="0" fontId="23" fillId="5" borderId="32" xfId="15" applyFont="1" applyFill="1" applyBorder="1" applyAlignment="1">
      <alignment horizontal="left" vertical="center"/>
    </xf>
    <xf numFmtId="0" fontId="23" fillId="5" borderId="8" xfId="15" applyFont="1" applyFill="1" applyBorder="1" applyAlignment="1">
      <alignment horizontal="left" vertical="center"/>
    </xf>
    <xf numFmtId="49" fontId="31" fillId="7" borderId="14" xfId="15" applyNumberFormat="1" applyFont="1" applyFill="1" applyBorder="1" applyAlignment="1">
      <alignment horizontal="center" vertical="center"/>
    </xf>
    <xf numFmtId="0" fontId="17" fillId="5" borderId="9" xfId="15" applyFont="1" applyFill="1" applyBorder="1" applyAlignment="1">
      <alignment horizontal="left" vertical="center"/>
    </xf>
    <xf numFmtId="0" fontId="17" fillId="5" borderId="8" xfId="15" applyFont="1" applyFill="1" applyBorder="1" applyAlignment="1">
      <alignment horizontal="left" vertical="center"/>
    </xf>
    <xf numFmtId="0" fontId="51" fillId="0" borderId="1" xfId="34" applyFont="1" applyBorder="1" applyAlignment="1">
      <alignment horizontal="left" vertical="center"/>
    </xf>
    <xf numFmtId="0" fontId="51" fillId="0" borderId="8" xfId="34" applyFont="1" applyBorder="1" applyAlignment="1">
      <alignment horizontal="left" vertical="center"/>
    </xf>
    <xf numFmtId="0" fontId="51" fillId="0" borderId="9" xfId="34" applyFont="1" applyBorder="1" applyAlignment="1">
      <alignment horizontal="left" vertical="center"/>
    </xf>
  </cellXfs>
  <cellStyles count="41">
    <cellStyle name="Excel Built-in Normal" xfId="33" xr:uid="{144C6055-2336-4133-A34B-2C697A3B7698}"/>
    <cellStyle name="Excel Built-in Normal 3" xfId="34" xr:uid="{ED79589D-1054-4C8D-84CF-314FFE01E0DD}"/>
    <cellStyle name="백분율 2" xfId="1" xr:uid="{00000000-0005-0000-0000-000000000000}"/>
    <cellStyle name="백분율 3" xfId="17" xr:uid="{00000000-0005-0000-0000-000001000000}"/>
    <cellStyle name="백분율 4" xfId="20" xr:uid="{00000000-0005-0000-0000-000002000000}"/>
    <cellStyle name="백분율 5" xfId="24" xr:uid="{00000000-0005-0000-0000-000003000000}"/>
    <cellStyle name="백분율 6" xfId="27" xr:uid="{00000000-0005-0000-0000-000004000000}"/>
    <cellStyle name="쉼표 [0]" xfId="40" builtinId="6"/>
    <cellStyle name="쉼표 [0] 10" xfId="16" xr:uid="{00000000-0005-0000-0000-000006000000}"/>
    <cellStyle name="쉼표 [0] 18" xfId="2" xr:uid="{00000000-0005-0000-0000-000007000000}"/>
    <cellStyle name="쉼표 [0] 2" xfId="3" xr:uid="{00000000-0005-0000-0000-000008000000}"/>
    <cellStyle name="쉼표 [0] 2 2" xfId="4" xr:uid="{00000000-0005-0000-0000-000009000000}"/>
    <cellStyle name="쉼표 [0] 20" xfId="5" xr:uid="{00000000-0005-0000-0000-00000A000000}"/>
    <cellStyle name="쉼표 [0] 3" xfId="19" xr:uid="{00000000-0005-0000-0000-00000B000000}"/>
    <cellStyle name="쉼표 [0] 3 2" xfId="6" xr:uid="{00000000-0005-0000-0000-00000C000000}"/>
    <cellStyle name="쉼표 [0] 3 2 2" xfId="7" xr:uid="{00000000-0005-0000-0000-00000D000000}"/>
    <cellStyle name="쉼표 [0] 4" xfId="23" xr:uid="{00000000-0005-0000-0000-00000E000000}"/>
    <cellStyle name="쉼표 [0] 5" xfId="8" xr:uid="{00000000-0005-0000-0000-00000F000000}"/>
    <cellStyle name="쉼표 [0] 6" xfId="26" xr:uid="{00000000-0005-0000-0000-000010000000}"/>
    <cellStyle name="쉼표 [0] 7" xfId="30" xr:uid="{00000000-0005-0000-0000-000011000000}"/>
    <cellStyle name="쉼표 [0] 8" xfId="32" xr:uid="{00000000-0005-0000-0000-000012000000}"/>
    <cellStyle name="표준" xfId="0" builtinId="0"/>
    <cellStyle name="표준 10" xfId="31" xr:uid="{00000000-0005-0000-0000-000014000000}"/>
    <cellStyle name="표준 108" xfId="9" xr:uid="{00000000-0005-0000-0000-000015000000}"/>
    <cellStyle name="표준 109" xfId="10" xr:uid="{00000000-0005-0000-0000-000016000000}"/>
    <cellStyle name="표준 115" xfId="11" xr:uid="{00000000-0005-0000-0000-000017000000}"/>
    <cellStyle name="표준 2" xfId="12" xr:uid="{00000000-0005-0000-0000-000018000000}"/>
    <cellStyle name="표준 2 2" xfId="39" xr:uid="{15C908FA-5999-4954-BF18-FF1F198A1EC3}"/>
    <cellStyle name="표준 3" xfId="13" xr:uid="{00000000-0005-0000-0000-000019000000}"/>
    <cellStyle name="표준 3 69" xfId="14" xr:uid="{00000000-0005-0000-0000-00001A000000}"/>
    <cellStyle name="표준 4" xfId="18" xr:uid="{00000000-0005-0000-0000-00001B000000}"/>
    <cellStyle name="표준 44 2 2" xfId="37" xr:uid="{DCA0D944-33F0-4BF2-B74F-3930700A2A9F}"/>
    <cellStyle name="표준 5" xfId="15" xr:uid="{00000000-0005-0000-0000-00001C000000}"/>
    <cellStyle name="표준 6" xfId="21" xr:uid="{00000000-0005-0000-0000-00001D000000}"/>
    <cellStyle name="표준 7" xfId="22" xr:uid="{00000000-0005-0000-0000-00001E000000}"/>
    <cellStyle name="표준 8" xfId="25" xr:uid="{00000000-0005-0000-0000-00001F000000}"/>
    <cellStyle name="표준 8 2" xfId="28" xr:uid="{00000000-0005-0000-0000-000020000000}"/>
    <cellStyle name="표준 9" xfId="29" xr:uid="{00000000-0005-0000-0000-000021000000}"/>
    <cellStyle name="표준_1106-001 인지컨트롤스 x3850" xfId="36" xr:uid="{C1938C93-64AA-4427-871D-801A04AB5F49}"/>
    <cellStyle name="표준_650(630)견적서(1020)" xfId="38" xr:uid="{4AB6AE74-DA37-4E1D-9843-E9A638CF3B5C}"/>
    <cellStyle name="하이퍼링크 2" xfId="35" xr:uid="{357BFCCB-59AF-40C6-BF28-0E39BC6F84AC}"/>
  </cellStyles>
  <dxfs count="0"/>
  <tableStyles count="0" defaultTableStyle="TableStyleMedium2" defaultPivotStyle="PivotStyleLight16"/>
  <colors>
    <mruColors>
      <color rgb="FFCCE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368862</xdr:colOff>
      <xdr:row>51</xdr:row>
      <xdr:rowOff>98213</xdr:rowOff>
    </xdr:from>
    <xdr:ext cx="598092" cy="602876"/>
    <xdr:pic>
      <xdr:nvPicPr>
        <xdr:cNvPr id="2" name="그림 1">
          <a:extLst>
            <a:ext uri="{FF2B5EF4-FFF2-40B4-BE49-F238E27FC236}">
              <a16:creationId xmlns:a16="http://schemas.microsoft.com/office/drawing/2014/main" id="{DD35D547-0838-4FDE-AC58-8DCBF3592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0237" y="10728113"/>
          <a:ext cx="598092" cy="602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A293-555F-4819-A6AF-E1CF1D57C1EB}">
  <sheetPr>
    <pageSetUpPr fitToPage="1"/>
  </sheetPr>
  <dimension ref="B1:Q58"/>
  <sheetViews>
    <sheetView showGridLines="0" tabSelected="1" view="pageBreakPreview" zoomScaleNormal="100" zoomScaleSheetLayoutView="100" workbookViewId="0">
      <selection activeCell="B24" sqref="B24:G24"/>
    </sheetView>
  </sheetViews>
  <sheetFormatPr defaultColWidth="8.88671875" defaultRowHeight="14.25"/>
  <cols>
    <col min="1" max="1" width="2.109375" style="27" customWidth="1"/>
    <col min="2" max="2" width="9" style="31" customWidth="1"/>
    <col min="3" max="3" width="18" style="30" customWidth="1"/>
    <col min="4" max="4" width="16.77734375" style="30" customWidth="1"/>
    <col min="5" max="5" width="17.21875" style="30" customWidth="1"/>
    <col min="6" max="6" width="8.6640625" style="27" customWidth="1"/>
    <col min="7" max="7" width="10.44140625" style="29" customWidth="1"/>
    <col min="8" max="8" width="9.6640625" style="29" customWidth="1"/>
    <col min="9" max="10" width="10.88671875" style="29" customWidth="1"/>
    <col min="11" max="11" width="12.21875" style="28" customWidth="1"/>
    <col min="12" max="12" width="2.21875" style="27" customWidth="1"/>
    <col min="13" max="13" width="9" style="80" customWidth="1"/>
    <col min="14" max="14" width="10.77734375" style="27" bestFit="1" customWidth="1"/>
    <col min="15" max="15" width="13.5546875" style="27" bestFit="1" customWidth="1"/>
    <col min="16" max="16384" width="8.88671875" style="27"/>
  </cols>
  <sheetData>
    <row r="1" spans="2:13" s="1" customFormat="1" ht="30" customHeight="1" thickBot="1">
      <c r="B1" s="125" t="s">
        <v>33</v>
      </c>
      <c r="C1" s="126"/>
      <c r="D1" s="126"/>
      <c r="E1" s="126"/>
      <c r="F1" s="126"/>
      <c r="G1" s="126"/>
      <c r="H1" s="56"/>
      <c r="I1" s="56"/>
      <c r="J1" s="56"/>
      <c r="L1" s="42"/>
      <c r="M1" s="75"/>
    </row>
    <row r="2" spans="2:13" s="1" customFormat="1" ht="18" customHeight="1">
      <c r="B2" s="2" t="s">
        <v>34</v>
      </c>
      <c r="C2" s="3"/>
      <c r="D2" s="3"/>
      <c r="E2" s="3"/>
      <c r="F2" s="3"/>
      <c r="G2" s="3"/>
      <c r="H2" s="3"/>
      <c r="I2" s="3"/>
      <c r="J2" s="3"/>
      <c r="K2" s="3"/>
      <c r="L2" s="49"/>
      <c r="M2" s="76"/>
    </row>
    <row r="3" spans="2:13" s="1" customFormat="1" ht="6.75" customHeight="1">
      <c r="B3" s="4"/>
      <c r="C3" s="5"/>
      <c r="D3" s="5"/>
      <c r="E3" s="5"/>
      <c r="F3" s="5"/>
      <c r="G3" s="5"/>
      <c r="H3" s="5"/>
      <c r="I3" s="5"/>
      <c r="J3" s="5"/>
      <c r="L3" s="49"/>
      <c r="M3" s="76"/>
    </row>
    <row r="4" spans="2:13" s="1" customFormat="1" ht="35.1" customHeight="1">
      <c r="B4" s="127" t="s">
        <v>0</v>
      </c>
      <c r="C4" s="127"/>
      <c r="D4" s="127"/>
      <c r="E4" s="127"/>
      <c r="F4" s="127"/>
      <c r="G4" s="127"/>
      <c r="H4" s="127"/>
      <c r="I4" s="127"/>
      <c r="J4" s="127"/>
      <c r="K4" s="127"/>
      <c r="L4" s="42"/>
      <c r="M4" s="75"/>
    </row>
    <row r="5" spans="2:13" s="8" customFormat="1" ht="8.25" customHeight="1">
      <c r="B5" s="6"/>
      <c r="C5" s="7"/>
      <c r="D5" s="7"/>
      <c r="E5" s="7"/>
      <c r="F5" s="7"/>
      <c r="G5" s="7"/>
      <c r="H5" s="7"/>
      <c r="I5" s="7"/>
      <c r="J5" s="7"/>
      <c r="L5" s="44"/>
      <c r="M5" s="76"/>
    </row>
    <row r="6" spans="2:13" s="8" customFormat="1" ht="15" customHeight="1">
      <c r="B6" s="104" t="s">
        <v>61</v>
      </c>
      <c r="C6" s="104"/>
      <c r="D6" s="104"/>
      <c r="E6" s="48"/>
      <c r="F6" s="47"/>
      <c r="G6" s="47"/>
      <c r="H6" s="87" t="s">
        <v>29</v>
      </c>
      <c r="I6" s="88" t="s">
        <v>60</v>
      </c>
      <c r="J6" s="92"/>
      <c r="K6" s="89"/>
      <c r="L6" s="43"/>
      <c r="M6" s="76"/>
    </row>
    <row r="7" spans="2:13" s="8" customFormat="1" ht="15" customHeight="1">
      <c r="B7" s="64" t="s">
        <v>28</v>
      </c>
      <c r="C7" s="145" t="s">
        <v>62</v>
      </c>
      <c r="D7" s="146"/>
      <c r="E7" s="43"/>
      <c r="F7" s="47"/>
      <c r="G7" s="47"/>
      <c r="H7" s="87" t="s">
        <v>27</v>
      </c>
      <c r="I7" s="129">
        <v>46035</v>
      </c>
      <c r="J7" s="130"/>
      <c r="K7" s="131"/>
      <c r="L7" s="46"/>
      <c r="M7" s="76"/>
    </row>
    <row r="8" spans="2:13" s="8" customFormat="1" ht="15" customHeight="1">
      <c r="B8" s="64" t="s">
        <v>50</v>
      </c>
      <c r="C8" s="147" t="str">
        <f>DOLLAR(D13)&amp;"("&amp;"일금 "&amp;NUMBERSTRING(D13,1)&amp;"원"&amp;")"</f>
        <v>₩139,900,000(일금 일억삼천구백구십만원)</v>
      </c>
      <c r="D8" s="148"/>
      <c r="E8" s="45"/>
      <c r="F8" s="7"/>
      <c r="G8" s="45"/>
      <c r="H8" s="87" t="s">
        <v>26</v>
      </c>
      <c r="I8" s="86" t="s">
        <v>57</v>
      </c>
      <c r="J8" s="93"/>
      <c r="K8" s="90"/>
      <c r="L8" s="43"/>
      <c r="M8" s="76"/>
    </row>
    <row r="9" spans="2:13" s="8" customFormat="1" ht="15" customHeight="1">
      <c r="B9" s="65" t="s">
        <v>53</v>
      </c>
      <c r="C9" s="149" t="s">
        <v>67</v>
      </c>
      <c r="D9" s="148"/>
      <c r="E9" s="45"/>
      <c r="F9" s="7"/>
      <c r="G9" s="45"/>
      <c r="H9" s="87" t="s">
        <v>25</v>
      </c>
      <c r="I9" s="86" t="s">
        <v>58</v>
      </c>
      <c r="J9" s="93"/>
      <c r="K9" s="90"/>
      <c r="L9" s="43"/>
      <c r="M9" s="76"/>
    </row>
    <row r="10" spans="2:13" s="8" customFormat="1" ht="15" customHeight="1">
      <c r="B10" s="45"/>
      <c r="C10" s="45"/>
      <c r="D10" s="45"/>
      <c r="E10" s="45"/>
      <c r="F10" s="7"/>
      <c r="G10" s="45"/>
      <c r="H10" s="87" t="s">
        <v>24</v>
      </c>
      <c r="I10" s="86" t="s">
        <v>23</v>
      </c>
      <c r="J10" s="93"/>
      <c r="K10" s="90"/>
      <c r="L10" s="43"/>
      <c r="M10" s="76"/>
    </row>
    <row r="11" spans="2:13" s="12" customFormat="1" ht="15" customHeight="1">
      <c r="B11" s="9" t="s">
        <v>1</v>
      </c>
      <c r="C11" s="10"/>
      <c r="D11" s="10"/>
      <c r="E11" s="10"/>
      <c r="F11" s="11"/>
      <c r="G11" s="10"/>
      <c r="H11" s="87" t="s">
        <v>22</v>
      </c>
      <c r="I11" s="141" t="s">
        <v>59</v>
      </c>
      <c r="J11" s="142"/>
      <c r="K11" s="143"/>
      <c r="L11" s="43"/>
      <c r="M11" s="77"/>
    </row>
    <row r="12" spans="2:13" s="12" customFormat="1" ht="12.75" customHeight="1">
      <c r="B12" s="42"/>
      <c r="C12" s="42"/>
      <c r="D12" s="42"/>
      <c r="E12" s="42"/>
      <c r="F12" s="41"/>
      <c r="G12" s="40"/>
      <c r="H12" s="40"/>
      <c r="I12" s="40"/>
      <c r="J12" s="40"/>
      <c r="L12" s="39"/>
      <c r="M12" s="78"/>
    </row>
    <row r="13" spans="2:13" s="12" customFormat="1" ht="21" customHeight="1">
      <c r="B13" s="13" t="s">
        <v>2</v>
      </c>
      <c r="C13" s="14"/>
      <c r="D13" s="15">
        <f>H24</f>
        <v>139900000</v>
      </c>
      <c r="E13" s="51"/>
      <c r="G13" s="16"/>
      <c r="H13" s="17"/>
      <c r="I13" s="17"/>
      <c r="J13" s="17"/>
      <c r="L13" s="17"/>
      <c r="M13" s="79"/>
    </row>
    <row r="15" spans="2:13" s="20" customFormat="1" ht="15" customHeight="1" thickBot="1">
      <c r="B15" s="18"/>
      <c r="C15" s="19"/>
      <c r="D15" s="19"/>
      <c r="E15" s="19"/>
      <c r="G15" s="21"/>
      <c r="H15" s="22"/>
      <c r="I15" s="22"/>
      <c r="J15" s="22"/>
      <c r="K15" s="23" t="s">
        <v>3</v>
      </c>
      <c r="M15" s="80"/>
    </row>
    <row r="16" spans="2:13" s="35" customFormat="1" ht="19.350000000000001" customHeight="1">
      <c r="B16" s="24" t="s">
        <v>21</v>
      </c>
      <c r="C16" s="38" t="s">
        <v>51</v>
      </c>
      <c r="D16" s="55" t="s">
        <v>12</v>
      </c>
      <c r="E16" s="55" t="s">
        <v>35</v>
      </c>
      <c r="F16" s="37" t="s">
        <v>20</v>
      </c>
      <c r="G16" s="36" t="s">
        <v>56</v>
      </c>
      <c r="H16" s="60" t="s">
        <v>30</v>
      </c>
      <c r="I16" s="60" t="s">
        <v>55</v>
      </c>
      <c r="J16" s="94" t="s">
        <v>19</v>
      </c>
      <c r="K16" s="71" t="s">
        <v>16</v>
      </c>
      <c r="M16" s="80"/>
    </row>
    <row r="17" spans="2:17" ht="19.5" customHeight="1">
      <c r="B17" s="107" t="s">
        <v>67</v>
      </c>
      <c r="C17" s="69" t="str">
        <f>B36</f>
        <v>9. 응용SW개발자</v>
      </c>
      <c r="D17" s="54" t="s">
        <v>63</v>
      </c>
      <c r="E17" s="54" t="s">
        <v>64</v>
      </c>
      <c r="F17" s="72">
        <v>4</v>
      </c>
      <c r="G17" s="52">
        <v>12498222.6</v>
      </c>
      <c r="H17" s="91">
        <v>0.1</v>
      </c>
      <c r="I17" s="53">
        <f>G17-(G17*H17)</f>
        <v>11248400.34</v>
      </c>
      <c r="J17" s="95">
        <f>I17*F17</f>
        <v>44993601.359999999</v>
      </c>
      <c r="K17" s="96" t="s">
        <v>65</v>
      </c>
      <c r="L17" s="35"/>
      <c r="O17" s="70"/>
      <c r="Q17" s="35"/>
    </row>
    <row r="18" spans="2:17" ht="19.5" customHeight="1">
      <c r="B18" s="108"/>
      <c r="C18" s="69" t="str">
        <f>B36</f>
        <v>9. 응용SW개발자</v>
      </c>
      <c r="D18" s="54" t="s">
        <v>63</v>
      </c>
      <c r="E18" s="54" t="s">
        <v>64</v>
      </c>
      <c r="F18" s="72">
        <v>8</v>
      </c>
      <c r="G18" s="52">
        <f>H36</f>
        <v>13957423.199999999</v>
      </c>
      <c r="H18" s="91">
        <v>0.15</v>
      </c>
      <c r="I18" s="53">
        <f>G18-(G18*H18)</f>
        <v>11863809.719999999</v>
      </c>
      <c r="J18" s="95">
        <f>I18*F18</f>
        <v>94910477.75999999</v>
      </c>
      <c r="K18" s="96" t="s">
        <v>66</v>
      </c>
      <c r="L18" s="35"/>
      <c r="N18" s="73"/>
      <c r="Q18" s="35"/>
    </row>
    <row r="19" spans="2:17" ht="19.5" customHeight="1" thickBot="1">
      <c r="B19" s="68"/>
      <c r="C19" s="144" t="s">
        <v>14</v>
      </c>
      <c r="D19" s="144"/>
      <c r="E19" s="144"/>
      <c r="F19" s="85">
        <f>SUM(F17:F18)</f>
        <v>12</v>
      </c>
      <c r="G19" s="61">
        <f>AVERAGE(G17:G18)</f>
        <v>13227822.899999999</v>
      </c>
      <c r="H19" s="62"/>
      <c r="I19" s="63">
        <f>AVERAGE(I17:I18)</f>
        <v>11556105.029999999</v>
      </c>
      <c r="J19" s="63">
        <f>SUM(J17:J18)</f>
        <v>139904079.12</v>
      </c>
      <c r="K19" s="67"/>
      <c r="L19" s="35"/>
      <c r="N19" s="73"/>
    </row>
    <row r="20" spans="2:17" s="33" customFormat="1" ht="7.5" customHeight="1">
      <c r="B20" s="25"/>
      <c r="C20" s="25"/>
      <c r="D20" s="25"/>
      <c r="E20" s="25"/>
      <c r="F20" s="25"/>
      <c r="G20" s="25"/>
      <c r="H20" s="25"/>
      <c r="I20" s="25"/>
      <c r="J20" s="25"/>
      <c r="K20" s="25"/>
      <c r="M20" s="80"/>
      <c r="N20" s="74"/>
    </row>
    <row r="21" spans="2:17" s="33" customFormat="1" ht="7.5" customHeight="1">
      <c r="B21" s="25"/>
      <c r="C21" s="25"/>
      <c r="D21" s="25"/>
      <c r="E21" s="25"/>
      <c r="F21" s="25"/>
      <c r="G21" s="25"/>
      <c r="H21" s="25"/>
      <c r="I21" s="25"/>
      <c r="J21" s="25"/>
      <c r="K21" s="25"/>
      <c r="M21" s="80"/>
      <c r="N21" s="74"/>
    </row>
    <row r="22" spans="2:17" s="33" customFormat="1" ht="7.35" customHeight="1">
      <c r="B22" s="25"/>
      <c r="C22" s="25"/>
      <c r="D22" s="25"/>
      <c r="E22" s="25"/>
      <c r="F22" s="25"/>
      <c r="G22" s="25"/>
      <c r="H22" s="25"/>
      <c r="I22" s="25"/>
      <c r="J22" s="25"/>
      <c r="K22" s="25"/>
      <c r="M22" s="80"/>
    </row>
    <row r="23" spans="2:17" s="33" customFormat="1" ht="7.5" customHeight="1" thickBot="1">
      <c r="B23" s="25"/>
      <c r="C23" s="25"/>
      <c r="D23" s="25"/>
      <c r="E23" s="25"/>
      <c r="F23" s="25"/>
      <c r="G23" s="25"/>
      <c r="H23" s="25"/>
      <c r="I23" s="25"/>
      <c r="J23" s="25"/>
      <c r="K23" s="25"/>
      <c r="M23" s="80"/>
    </row>
    <row r="24" spans="2:17" ht="20.100000000000001" customHeight="1" thickBot="1">
      <c r="B24" s="137" t="s">
        <v>4</v>
      </c>
      <c r="C24" s="138"/>
      <c r="D24" s="138"/>
      <c r="E24" s="138"/>
      <c r="F24" s="138"/>
      <c r="G24" s="138"/>
      <c r="H24" s="99">
        <f>ROUNDDOWN(J19,-5)</f>
        <v>139900000</v>
      </c>
      <c r="I24" s="100"/>
      <c r="J24" s="101"/>
      <c r="K24" s="50" t="s">
        <v>31</v>
      </c>
      <c r="L24" s="35"/>
    </row>
    <row r="25" spans="2:17" s="33" customFormat="1" ht="8.25" customHeight="1">
      <c r="B25" s="26"/>
      <c r="C25" s="26"/>
      <c r="D25" s="26"/>
      <c r="E25" s="26"/>
      <c r="F25" s="26"/>
      <c r="G25" s="26"/>
      <c r="H25" s="26"/>
      <c r="I25" s="26"/>
      <c r="J25" s="26"/>
      <c r="K25" s="26"/>
      <c r="M25" s="80"/>
    </row>
    <row r="26" spans="2:17" s="33" customFormat="1" ht="18" thickBot="1">
      <c r="B26" s="34"/>
      <c r="C26" s="34"/>
      <c r="D26" s="34"/>
      <c r="E26" s="34"/>
      <c r="F26" s="128"/>
      <c r="G26" s="128"/>
      <c r="H26" s="57"/>
      <c r="I26" s="57"/>
      <c r="J26" s="57"/>
      <c r="K26" s="34"/>
      <c r="L26" s="34"/>
      <c r="M26" s="81"/>
    </row>
    <row r="27" spans="2:17" s="33" customFormat="1" ht="16.5">
      <c r="B27" s="139" t="s">
        <v>54</v>
      </c>
      <c r="C27" s="140"/>
      <c r="D27" s="58" t="s">
        <v>5</v>
      </c>
      <c r="E27" s="58" t="s">
        <v>6</v>
      </c>
      <c r="F27" s="58" t="s">
        <v>7</v>
      </c>
      <c r="G27" s="58" t="s">
        <v>8</v>
      </c>
      <c r="H27" s="105" t="s">
        <v>13</v>
      </c>
      <c r="I27" s="136"/>
      <c r="J27" s="105" t="s">
        <v>16</v>
      </c>
      <c r="K27" s="106"/>
      <c r="L27" s="34"/>
      <c r="M27" s="81"/>
    </row>
    <row r="28" spans="2:17" s="33" customFormat="1" ht="12.6" customHeight="1">
      <c r="B28" s="121" t="s">
        <v>9</v>
      </c>
      <c r="C28" s="122"/>
      <c r="D28" s="66">
        <v>578206</v>
      </c>
      <c r="E28" s="66">
        <v>11853218</v>
      </c>
      <c r="F28" s="59">
        <f>E28*0.5</f>
        <v>5926609</v>
      </c>
      <c r="G28" s="59">
        <f>(E28+F28)*0.2</f>
        <v>3555965.4000000004</v>
      </c>
      <c r="H28" s="97">
        <f t="shared" ref="H28:H44" si="0">SUM(E28:G28)</f>
        <v>21335792.399999999</v>
      </c>
      <c r="I28" s="132"/>
      <c r="J28" s="97"/>
      <c r="K28" s="98"/>
      <c r="L28" s="34"/>
      <c r="M28" s="81"/>
    </row>
    <row r="29" spans="2:17" s="33" customFormat="1" ht="12.6" customHeight="1">
      <c r="B29" s="121" t="s">
        <v>10</v>
      </c>
      <c r="C29" s="122"/>
      <c r="D29" s="66">
        <v>522340</v>
      </c>
      <c r="E29" s="66">
        <v>10707960</v>
      </c>
      <c r="F29" s="59">
        <f t="shared" ref="F29:F44" si="1">E29*0.5</f>
        <v>5353980</v>
      </c>
      <c r="G29" s="59">
        <f t="shared" ref="G29:G44" si="2">(E29+F29)*0.2</f>
        <v>3212388</v>
      </c>
      <c r="H29" s="97">
        <f t="shared" si="0"/>
        <v>19274328</v>
      </c>
      <c r="I29" s="132"/>
      <c r="J29" s="97"/>
      <c r="K29" s="98"/>
      <c r="L29" s="34"/>
      <c r="M29" s="81"/>
    </row>
    <row r="30" spans="2:17" s="33" customFormat="1" ht="12.6" customHeight="1">
      <c r="B30" s="121" t="s">
        <v>36</v>
      </c>
      <c r="C30" s="122"/>
      <c r="D30" s="66">
        <v>475154</v>
      </c>
      <c r="E30" s="66">
        <v>9740667</v>
      </c>
      <c r="F30" s="59">
        <f t="shared" si="1"/>
        <v>4870333.5</v>
      </c>
      <c r="G30" s="59">
        <f t="shared" si="2"/>
        <v>2922200.1</v>
      </c>
      <c r="H30" s="97">
        <f t="shared" si="0"/>
        <v>17533200.600000001</v>
      </c>
      <c r="I30" s="132"/>
      <c r="J30" s="97"/>
      <c r="K30" s="98"/>
      <c r="L30" s="34"/>
      <c r="M30" s="81"/>
    </row>
    <row r="31" spans="2:17" s="33" customFormat="1" ht="12.6" customHeight="1">
      <c r="B31" s="121" t="s">
        <v>37</v>
      </c>
      <c r="C31" s="122"/>
      <c r="D31" s="66">
        <v>414600</v>
      </c>
      <c r="E31" s="66">
        <v>8499309</v>
      </c>
      <c r="F31" s="59">
        <f t="shared" si="1"/>
        <v>4249654.5</v>
      </c>
      <c r="G31" s="59">
        <f t="shared" si="2"/>
        <v>2549792.7000000002</v>
      </c>
      <c r="H31" s="97">
        <f t="shared" si="0"/>
        <v>15298756.199999999</v>
      </c>
      <c r="I31" s="132"/>
      <c r="J31" s="97"/>
      <c r="K31" s="98"/>
      <c r="M31" s="82"/>
    </row>
    <row r="32" spans="2:17" s="33" customFormat="1" ht="12.6" customHeight="1">
      <c r="B32" s="121" t="s">
        <v>52</v>
      </c>
      <c r="C32" s="122"/>
      <c r="D32" s="66">
        <v>492039</v>
      </c>
      <c r="E32" s="66">
        <v>10086804</v>
      </c>
      <c r="F32" s="59">
        <f t="shared" si="1"/>
        <v>5043402</v>
      </c>
      <c r="G32" s="59">
        <f t="shared" si="2"/>
        <v>3026041.2</v>
      </c>
      <c r="H32" s="97">
        <f t="shared" si="0"/>
        <v>18156247.199999999</v>
      </c>
      <c r="I32" s="132"/>
      <c r="J32" s="97"/>
      <c r="K32" s="98"/>
      <c r="M32" s="82"/>
    </row>
    <row r="33" spans="2:13" s="33" customFormat="1" ht="12.6" customHeight="1">
      <c r="B33" s="121" t="s">
        <v>38</v>
      </c>
      <c r="C33" s="122"/>
      <c r="D33" s="66">
        <v>541621</v>
      </c>
      <c r="E33" s="66">
        <v>11103230</v>
      </c>
      <c r="F33" s="59">
        <f t="shared" si="1"/>
        <v>5551615</v>
      </c>
      <c r="G33" s="59">
        <f t="shared" si="2"/>
        <v>3330969</v>
      </c>
      <c r="H33" s="97">
        <f t="shared" si="0"/>
        <v>19985814</v>
      </c>
      <c r="I33" s="132"/>
      <c r="J33" s="97"/>
      <c r="K33" s="98"/>
      <c r="M33" s="82"/>
    </row>
    <row r="34" spans="2:13" ht="12.6" customHeight="1">
      <c r="B34" s="121" t="s">
        <v>39</v>
      </c>
      <c r="C34" s="122"/>
      <c r="D34" s="66">
        <v>336666</v>
      </c>
      <c r="E34" s="66">
        <v>6901660</v>
      </c>
      <c r="F34" s="59">
        <f t="shared" si="1"/>
        <v>3450830</v>
      </c>
      <c r="G34" s="59">
        <f t="shared" si="2"/>
        <v>2070498</v>
      </c>
      <c r="H34" s="97">
        <f t="shared" si="0"/>
        <v>12422988</v>
      </c>
      <c r="I34" s="132"/>
      <c r="J34" s="97"/>
      <c r="K34" s="98"/>
    </row>
    <row r="35" spans="2:13" ht="12.6" customHeight="1">
      <c r="B35" s="121" t="s">
        <v>40</v>
      </c>
      <c r="C35" s="122"/>
      <c r="D35" s="66">
        <v>251671</v>
      </c>
      <c r="E35" s="66">
        <v>5159246</v>
      </c>
      <c r="F35" s="59">
        <f t="shared" si="1"/>
        <v>2579623</v>
      </c>
      <c r="G35" s="59">
        <f t="shared" si="2"/>
        <v>1547773.8</v>
      </c>
      <c r="H35" s="97">
        <f t="shared" si="0"/>
        <v>9286642.8000000007</v>
      </c>
      <c r="I35" s="132"/>
      <c r="J35" s="97"/>
      <c r="K35" s="98"/>
    </row>
    <row r="36" spans="2:13" ht="12.6" customHeight="1">
      <c r="B36" s="133" t="s">
        <v>41</v>
      </c>
      <c r="C36" s="134"/>
      <c r="D36" s="83">
        <v>378250</v>
      </c>
      <c r="E36" s="83">
        <v>7754124</v>
      </c>
      <c r="F36" s="84">
        <f t="shared" si="1"/>
        <v>3877062</v>
      </c>
      <c r="G36" s="84">
        <f t="shared" si="2"/>
        <v>2326237.2000000002</v>
      </c>
      <c r="H36" s="102">
        <f t="shared" si="0"/>
        <v>13957423.199999999</v>
      </c>
      <c r="I36" s="135"/>
      <c r="J36" s="102"/>
      <c r="K36" s="103"/>
    </row>
    <row r="37" spans="2:13" ht="12.6" customHeight="1">
      <c r="B37" s="121" t="s">
        <v>42</v>
      </c>
      <c r="C37" s="122"/>
      <c r="D37" s="66">
        <v>284888</v>
      </c>
      <c r="E37" s="66">
        <v>5840196</v>
      </c>
      <c r="F37" s="59">
        <f t="shared" si="1"/>
        <v>2920098</v>
      </c>
      <c r="G37" s="59">
        <f t="shared" si="2"/>
        <v>1752058.8</v>
      </c>
      <c r="H37" s="97">
        <f t="shared" si="0"/>
        <v>10512352.800000001</v>
      </c>
      <c r="I37" s="132"/>
      <c r="J37" s="97"/>
      <c r="K37" s="98"/>
    </row>
    <row r="38" spans="2:13" ht="12.6" customHeight="1">
      <c r="B38" s="121" t="s">
        <v>43</v>
      </c>
      <c r="C38" s="122"/>
      <c r="D38" s="66">
        <v>519469</v>
      </c>
      <c r="E38" s="66">
        <v>10649117</v>
      </c>
      <c r="F38" s="59">
        <f t="shared" si="1"/>
        <v>5324558.5</v>
      </c>
      <c r="G38" s="59">
        <f t="shared" si="2"/>
        <v>3194735.1</v>
      </c>
      <c r="H38" s="97">
        <f t="shared" si="0"/>
        <v>19168410.600000001</v>
      </c>
      <c r="I38" s="132"/>
      <c r="J38" s="97"/>
      <c r="K38" s="98"/>
    </row>
    <row r="39" spans="2:13" ht="12.6" customHeight="1">
      <c r="B39" s="121" t="s">
        <v>44</v>
      </c>
      <c r="C39" s="122"/>
      <c r="D39" s="66">
        <v>252196</v>
      </c>
      <c r="E39" s="66">
        <v>5170016</v>
      </c>
      <c r="F39" s="59">
        <f t="shared" si="1"/>
        <v>2585008</v>
      </c>
      <c r="G39" s="59">
        <f t="shared" si="2"/>
        <v>1551004.8</v>
      </c>
      <c r="H39" s="97">
        <f t="shared" si="0"/>
        <v>9306028.8000000007</v>
      </c>
      <c r="I39" s="132"/>
      <c r="J39" s="97"/>
      <c r="K39" s="98"/>
    </row>
    <row r="40" spans="2:13" ht="12.6" customHeight="1">
      <c r="B40" s="123" t="s">
        <v>45</v>
      </c>
      <c r="C40" s="124"/>
      <c r="D40" s="66">
        <v>575293</v>
      </c>
      <c r="E40" s="66">
        <v>11793500</v>
      </c>
      <c r="F40" s="59">
        <f t="shared" si="1"/>
        <v>5896750</v>
      </c>
      <c r="G40" s="59">
        <f t="shared" si="2"/>
        <v>3538050</v>
      </c>
      <c r="H40" s="97">
        <f t="shared" si="0"/>
        <v>21228300</v>
      </c>
      <c r="I40" s="132"/>
      <c r="J40" s="97"/>
      <c r="K40" s="98"/>
    </row>
    <row r="41" spans="2:13" ht="12.6" customHeight="1">
      <c r="B41" s="121" t="s">
        <v>46</v>
      </c>
      <c r="C41" s="122"/>
      <c r="D41" s="66">
        <v>538638</v>
      </c>
      <c r="E41" s="66">
        <v>11042071</v>
      </c>
      <c r="F41" s="59">
        <f t="shared" si="1"/>
        <v>5521035.5</v>
      </c>
      <c r="G41" s="59">
        <f t="shared" si="2"/>
        <v>3312621.3000000003</v>
      </c>
      <c r="H41" s="97">
        <f t="shared" si="0"/>
        <v>19875727.800000001</v>
      </c>
      <c r="I41" s="132"/>
      <c r="J41" s="97"/>
      <c r="K41" s="98"/>
    </row>
    <row r="42" spans="2:13" ht="12.6" customHeight="1">
      <c r="B42" s="121" t="s">
        <v>47</v>
      </c>
      <c r="C42" s="122"/>
      <c r="D42" s="66">
        <v>197714</v>
      </c>
      <c r="E42" s="66">
        <v>4053137</v>
      </c>
      <c r="F42" s="59">
        <f t="shared" si="1"/>
        <v>2026568.5</v>
      </c>
      <c r="G42" s="59">
        <f t="shared" si="2"/>
        <v>1215941.1000000001</v>
      </c>
      <c r="H42" s="97">
        <f t="shared" si="0"/>
        <v>7295646.5999999996</v>
      </c>
      <c r="I42" s="132"/>
      <c r="J42" s="97"/>
      <c r="K42" s="98"/>
    </row>
    <row r="43" spans="2:13" ht="12.6" customHeight="1">
      <c r="B43" s="121" t="s">
        <v>48</v>
      </c>
      <c r="C43" s="122"/>
      <c r="D43" s="66">
        <v>572934</v>
      </c>
      <c r="E43" s="66">
        <v>11745154</v>
      </c>
      <c r="F43" s="59">
        <f t="shared" si="1"/>
        <v>5872577</v>
      </c>
      <c r="G43" s="59">
        <f t="shared" si="2"/>
        <v>3523546.2</v>
      </c>
      <c r="H43" s="97">
        <f t="shared" si="0"/>
        <v>21141277.199999999</v>
      </c>
      <c r="I43" s="132"/>
      <c r="J43" s="97"/>
      <c r="K43" s="98"/>
    </row>
    <row r="44" spans="2:13" ht="12.6" customHeight="1">
      <c r="B44" s="121" t="s">
        <v>49</v>
      </c>
      <c r="C44" s="122"/>
      <c r="D44" s="66">
        <v>507887</v>
      </c>
      <c r="E44" s="66">
        <v>10411680</v>
      </c>
      <c r="F44" s="59">
        <f t="shared" si="1"/>
        <v>5205840</v>
      </c>
      <c r="G44" s="59">
        <f t="shared" si="2"/>
        <v>3123504</v>
      </c>
      <c r="H44" s="97">
        <f t="shared" si="0"/>
        <v>18741024</v>
      </c>
      <c r="I44" s="132"/>
      <c r="J44" s="97"/>
      <c r="K44" s="98"/>
    </row>
    <row r="45" spans="2:13" ht="15" thickBot="1">
      <c r="B45" s="27"/>
      <c r="C45" s="27"/>
    </row>
    <row r="46" spans="2:13">
      <c r="B46" s="112" t="s">
        <v>18</v>
      </c>
      <c r="C46" s="115"/>
      <c r="D46" s="116"/>
      <c r="E46" s="116"/>
      <c r="F46" s="116"/>
      <c r="G46" s="116"/>
      <c r="H46" s="116"/>
      <c r="I46" s="116"/>
      <c r="J46" s="116"/>
      <c r="K46" s="117"/>
    </row>
    <row r="47" spans="2:13">
      <c r="B47" s="113"/>
      <c r="C47" s="118" t="s">
        <v>17</v>
      </c>
      <c r="D47" s="119"/>
      <c r="E47" s="119"/>
      <c r="F47" s="119"/>
      <c r="G47" s="119"/>
      <c r="H47" s="119"/>
      <c r="I47" s="119"/>
      <c r="J47" s="119"/>
      <c r="K47" s="120"/>
    </row>
    <row r="48" spans="2:13">
      <c r="B48" s="113"/>
      <c r="C48" s="118" t="s">
        <v>32</v>
      </c>
      <c r="D48" s="119"/>
      <c r="E48" s="119"/>
      <c r="F48" s="119"/>
      <c r="G48" s="119"/>
      <c r="H48" s="119"/>
      <c r="I48" s="119"/>
      <c r="J48" s="119"/>
      <c r="K48" s="120"/>
    </row>
    <row r="49" spans="2:13" ht="15" thickBot="1">
      <c r="B49" s="114"/>
      <c r="C49" s="109"/>
      <c r="D49" s="110"/>
      <c r="E49" s="110"/>
      <c r="F49" s="110"/>
      <c r="G49" s="110"/>
      <c r="H49" s="110"/>
      <c r="I49" s="110"/>
      <c r="J49" s="110"/>
      <c r="K49" s="111"/>
    </row>
    <row r="50" spans="2:13">
      <c r="B50" s="27"/>
      <c r="C50" s="27"/>
      <c r="H50" s="27"/>
      <c r="I50" s="27"/>
      <c r="J50" s="27"/>
    </row>
    <row r="51" spans="2:13" s="33" customFormat="1" ht="11.25">
      <c r="M51" s="82"/>
    </row>
    <row r="52" spans="2:13" s="33" customFormat="1" ht="12">
      <c r="H52" s="32"/>
      <c r="I52" s="32"/>
      <c r="J52" s="32"/>
      <c r="K52" s="32" t="s">
        <v>11</v>
      </c>
      <c r="M52" s="82"/>
    </row>
    <row r="53" spans="2:13" s="33" customFormat="1" ht="12">
      <c r="H53" s="32"/>
      <c r="I53" s="32"/>
      <c r="J53" s="32"/>
      <c r="K53" s="32" t="s">
        <v>15</v>
      </c>
      <c r="M53" s="82"/>
    </row>
    <row r="54" spans="2:13" s="33" customFormat="1" ht="11.25">
      <c r="M54" s="82"/>
    </row>
    <row r="55" spans="2:13" s="33" customFormat="1" ht="11.25">
      <c r="M55" s="82"/>
    </row>
    <row r="57" spans="2:13">
      <c r="H57" s="27"/>
      <c r="I57" s="27"/>
      <c r="J57" s="27"/>
    </row>
    <row r="58" spans="2:13">
      <c r="H58" s="27"/>
      <c r="I58" s="27"/>
      <c r="J58" s="27"/>
    </row>
  </sheetData>
  <mergeCells count="72">
    <mergeCell ref="B33:C33"/>
    <mergeCell ref="B31:C31"/>
    <mergeCell ref="B27:C27"/>
    <mergeCell ref="B32:C32"/>
    <mergeCell ref="H28:I28"/>
    <mergeCell ref="B28:C28"/>
    <mergeCell ref="B29:C29"/>
    <mergeCell ref="B39:C39"/>
    <mergeCell ref="B37:C37"/>
    <mergeCell ref="B38:C38"/>
    <mergeCell ref="B36:C36"/>
    <mergeCell ref="H44:I44"/>
    <mergeCell ref="H43:I43"/>
    <mergeCell ref="H42:I42"/>
    <mergeCell ref="H41:I41"/>
    <mergeCell ref="H40:I40"/>
    <mergeCell ref="H39:I39"/>
    <mergeCell ref="H38:I38"/>
    <mergeCell ref="H37:I37"/>
    <mergeCell ref="H36:I36"/>
    <mergeCell ref="B1:G1"/>
    <mergeCell ref="B4:K4"/>
    <mergeCell ref="B34:C34"/>
    <mergeCell ref="B35:C35"/>
    <mergeCell ref="F26:G26"/>
    <mergeCell ref="I7:K7"/>
    <mergeCell ref="H31:I31"/>
    <mergeCell ref="H30:I30"/>
    <mergeCell ref="H29:I29"/>
    <mergeCell ref="H35:I35"/>
    <mergeCell ref="H27:I27"/>
    <mergeCell ref="H32:I32"/>
    <mergeCell ref="H34:I34"/>
    <mergeCell ref="H33:I33"/>
    <mergeCell ref="B30:C30"/>
    <mergeCell ref="B24:G24"/>
    <mergeCell ref="B41:C41"/>
    <mergeCell ref="B42:C42"/>
    <mergeCell ref="B40:C40"/>
    <mergeCell ref="B44:C44"/>
    <mergeCell ref="B43:C43"/>
    <mergeCell ref="C49:K49"/>
    <mergeCell ref="B46:B49"/>
    <mergeCell ref="C46:K46"/>
    <mergeCell ref="C47:K47"/>
    <mergeCell ref="C48:K48"/>
    <mergeCell ref="B6:D6"/>
    <mergeCell ref="J27:K27"/>
    <mergeCell ref="J28:K28"/>
    <mergeCell ref="J29:K29"/>
    <mergeCell ref="J30:K30"/>
    <mergeCell ref="B17:B18"/>
    <mergeCell ref="I11:K11"/>
    <mergeCell ref="C19:E19"/>
    <mergeCell ref="C7:D7"/>
    <mergeCell ref="C8:D8"/>
    <mergeCell ref="C9:D9"/>
    <mergeCell ref="J41:K41"/>
    <mergeCell ref="J42:K42"/>
    <mergeCell ref="J43:K43"/>
    <mergeCell ref="J44:K44"/>
    <mergeCell ref="H24:J24"/>
    <mergeCell ref="J36:K36"/>
    <mergeCell ref="J37:K37"/>
    <mergeCell ref="J38:K38"/>
    <mergeCell ref="J39:K39"/>
    <mergeCell ref="J40:K40"/>
    <mergeCell ref="J31:K31"/>
    <mergeCell ref="J32:K32"/>
    <mergeCell ref="J33:K33"/>
    <mergeCell ref="J34:K34"/>
    <mergeCell ref="J35:K35"/>
  </mergeCells>
  <phoneticPr fontId="9" type="noConversion"/>
  <printOptions horizontalCentered="1"/>
  <pageMargins left="0.15748031496062992" right="0.15748031496062992" top="0.19685039370078741" bottom="0.19685039370078741" header="0.19685039370078741" footer="0.15748031496062992"/>
  <pageSetup paperSize="9" scale="68" fitToHeight="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견적</vt:lpstr>
      <vt:lpstr>견적!Print_Area</vt:lpstr>
      <vt:lpstr>견적!Print_Titles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mjit@mj-it.net</dc:creator>
  <cp:lastModifiedBy>강석남 부장</cp:lastModifiedBy>
  <cp:lastPrinted>2025-05-28T01:36:34Z</cp:lastPrinted>
  <dcterms:created xsi:type="dcterms:W3CDTF">2008-11-13T02:30:20Z</dcterms:created>
  <dcterms:modified xsi:type="dcterms:W3CDTF">2026-01-13T03:58:21Z</dcterms:modified>
</cp:coreProperties>
</file>