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neDrive\OneDrive\Project\MJIT_KT\Document\AO\견적_계약\"/>
    </mc:Choice>
  </mc:AlternateContent>
  <xr:revisionPtr revIDLastSave="0" documentId="13_ncr:1_{2A365587-3526-40C8-81AE-82392FB34FD6}" xr6:coauthVersionLast="47" xr6:coauthVersionMax="47" xr10:uidLastSave="{00000000-0000-0000-0000-000000000000}"/>
  <bookViews>
    <workbookView xWindow="-98" yWindow="-98" windowWidth="21795" windowHeight="13875" tabRatio="667" xr2:uid="{00000000-000D-0000-FFFF-FFFF00000000}"/>
  </bookViews>
  <sheets>
    <sheet name="견적" sheetId="16" r:id="rId1"/>
    <sheet name="1. 투입공수" sheetId="12" r:id="rId2"/>
    <sheet name="제안 참가 신청서" sheetId="3" state="hidden" r:id="rId3"/>
  </sheets>
  <definedNames>
    <definedName name="_8_________S" hidden="1">#REF!</definedName>
    <definedName name="_9_______0_S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_ㅣㅐㅈ" hidden="1">#REF!</definedName>
    <definedName name="A1_00근거" hidden="1">{#N/A,#N/A,FALSE,"단축1";#N/A,#N/A,FALSE,"단축2";#N/A,#N/A,FALSE,"단축3";#N/A,#N/A,FALSE,"장축";#N/A,#N/A,FALSE,"4WD"}</definedName>
    <definedName name="AccessDatabase" hidden="1">"C:\My Documents\SCD\업무연락안양식.mdb"</definedName>
    <definedName name="BILL_TO_ADDRESS" localSheetId="0">#REF!</definedName>
    <definedName name="BILL_TO_ADDRESS">#REF!</definedName>
    <definedName name="BILL_TO_CONTACT" localSheetId="0">#REF!</definedName>
    <definedName name="BILL_TO_CONTACT">#REF!</definedName>
    <definedName name="BILL_TO_LABEL" localSheetId="0">#REF!</definedName>
    <definedName name="BILL_TO_LABEL">#REF!</definedName>
    <definedName name="BILL_TO_NAME" localSheetId="0">#REF!</definedName>
    <definedName name="BILL_TO_NAME">#REF!</definedName>
    <definedName name="BILL_TO_PHONE" localSheetId="0">#REF!</definedName>
    <definedName name="BILL_TO_PHONE">#REF!</definedName>
    <definedName name="BRS_FLOOR_ANALYSIS_LINES_TO_FORMAT0" localSheetId="0">#REF!</definedName>
    <definedName name="BRS_FLOOR_ANALYSIS_LINES_TO_FORMAT0">#REF!</definedName>
    <definedName name="BRS_FLOOR_ANALYSIS_LINES_TO_FORMAT1" localSheetId="0">#REF!</definedName>
    <definedName name="BRS_FLOOR_ANALYSIS_LINES_TO_FORMAT1">#REF!</definedName>
    <definedName name="BRS_FLOOR_ANALYSIS_SECTION" localSheetId="0">#REF!</definedName>
    <definedName name="BRS_FLOOR_ANALYSIS_SECTION">#REF!</definedName>
    <definedName name="CBWorkbookPriority" hidden="1">-1929190545</definedName>
    <definedName name="CFG_SECTION" localSheetId="0">#REF!</definedName>
    <definedName name="CFG_SECTION">#REF!</definedName>
    <definedName name="CFG_SUBTOTAL_ALL" localSheetId="0">#REF!</definedName>
    <definedName name="CFG_SUBTOTAL_ALL">#REF!</definedName>
    <definedName name="CFG_SUBTOTAL_HW" localSheetId="0">#REF!</definedName>
    <definedName name="CFG_SUBTOTAL_HW">#REF!</definedName>
    <definedName name="CFG_SUBTOTAL_MW" localSheetId="0">#REF!</definedName>
    <definedName name="CFG_SUBTOTAL_MW">#REF!</definedName>
    <definedName name="CFG_SUBTOTAL_PS" localSheetId="0">#REF!</definedName>
    <definedName name="CFG_SUBTOTAL_PS">#REF!</definedName>
    <definedName name="CFG_SUBTOTAL_SECTION" localSheetId="0">#REF!</definedName>
    <definedName name="CFG_SUBTOTAL_SECTION">#REF!</definedName>
    <definedName name="CFG_SUBTOTAL_SW" localSheetId="0">#REF!</definedName>
    <definedName name="CFG_SUBTOTAL_SW">#REF!</definedName>
    <definedName name="CFG_TITLE_FLD_CFG_NAME" localSheetId="0">#REF!</definedName>
    <definedName name="CFG_TITLE_FLD_CFG_NAME">#REF!</definedName>
    <definedName name="CFG_TITLE_SECTION" localSheetId="0">#REF!</definedName>
    <definedName name="CFG_TITLE_SECTION">#REF!</definedName>
    <definedName name="consulgin" hidden="1">{"'Price List '!$A$1:$R$156"}</definedName>
    <definedName name="CSI_FLD_CSI_DESCRIPTION" localSheetId="0">#REF!</definedName>
    <definedName name="CSI_FLD_CSI_DESCRIPTION">#REF!</definedName>
    <definedName name="CSI_FLD_CSI_NAME" localSheetId="0">#REF!</definedName>
    <definedName name="CSI_FLD_CSI_NAME">#REF!</definedName>
    <definedName name="CSI_FLD_CSI_SERIAL_NUMBER" localSheetId="0">#REF!</definedName>
    <definedName name="CSI_FLD_CSI_SERIAL_NUMBER">#REF!</definedName>
    <definedName name="CSI_LABEL_FORCOPY_SERIAL_NUMBER" localSheetId="0">#REF!</definedName>
    <definedName name="CSI_LABEL_FORCOPY_SERIAL_NUMBER">#REF!</definedName>
    <definedName name="CSI_LABEL_HEADERS" localSheetId="0">#REF!</definedName>
    <definedName name="CSI_LABEL_HEADERS">#REF!</definedName>
    <definedName name="CSI_LINE_HW" localSheetId="0">#REF!</definedName>
    <definedName name="CSI_LINE_HW">#REF!</definedName>
    <definedName name="CSI_LINE_MW" localSheetId="0">#REF!</definedName>
    <definedName name="CSI_LINE_MW">#REF!</definedName>
    <definedName name="CSI_LINE_PS" localSheetId="0">#REF!</definedName>
    <definedName name="CSI_LINE_PS">#REF!</definedName>
    <definedName name="CSI_LINE_SW" localSheetId="0">#REF!</definedName>
    <definedName name="CSI_LINE_SW">#REF!</definedName>
    <definedName name="CSI_SECTION_HW_ALL" localSheetId="0">#REF!</definedName>
    <definedName name="CSI_SECTION_HW_ALL">#REF!</definedName>
    <definedName name="CSI_SECTION_HW_BOT" localSheetId="0">#REF!</definedName>
    <definedName name="CSI_SECTION_HW_BOT">#REF!</definedName>
    <definedName name="CSI_SECTION_HW_TOP" localSheetId="0">#REF!</definedName>
    <definedName name="CSI_SECTION_HW_TOP">#REF!</definedName>
    <definedName name="CSI_SECTION_MW_ALL" localSheetId="0">#REF!</definedName>
    <definedName name="CSI_SECTION_MW_ALL">#REF!</definedName>
    <definedName name="CSI_SECTION_MW_BOT" localSheetId="0">#REF!</definedName>
    <definedName name="CSI_SECTION_MW_BOT">#REF!</definedName>
    <definedName name="CSI_SECTION_MW_TOP" localSheetId="0">#REF!</definedName>
    <definedName name="CSI_SECTION_MW_TOP">#REF!</definedName>
    <definedName name="CSI_SECTION_PS_ALL" localSheetId="0">#REF!</definedName>
    <definedName name="CSI_SECTION_PS_ALL">#REF!</definedName>
    <definedName name="CSI_SECTION_PS_BOT" localSheetId="0">#REF!</definedName>
    <definedName name="CSI_SECTION_PS_BOT">#REF!</definedName>
    <definedName name="CSI_SECTION_PS_TOP" localSheetId="0">#REF!</definedName>
    <definedName name="CSI_SECTION_PS_TOP">#REF!</definedName>
    <definedName name="CSI_SECTION_SW_ALL" localSheetId="0">#REF!</definedName>
    <definedName name="CSI_SECTION_SW_ALL">#REF!</definedName>
    <definedName name="CSI_SECTION_SW_BOT" localSheetId="0">#REF!</definedName>
    <definedName name="CSI_SECTION_SW_BOT">#REF!</definedName>
    <definedName name="CSI_SECTION_SW_TOP" localSheetId="0">#REF!</definedName>
    <definedName name="CSI_SECTION_SW_TOP">#REF!</definedName>
    <definedName name="CSI_SECTION_TITLE" localSheetId="0">#REF!</definedName>
    <definedName name="CSI_SECTION_TITLE">#REF!</definedName>
    <definedName name="CSI_SUBTOTAL_HW" localSheetId="0">#REF!</definedName>
    <definedName name="CSI_SUBTOTAL_HW">#REF!</definedName>
    <definedName name="CSI_SUBTOTAL_MW" localSheetId="0">#REF!</definedName>
    <definedName name="CSI_SUBTOTAL_MW">#REF!</definedName>
    <definedName name="CSI_SUBTOTAL_PS" localSheetId="0">#REF!</definedName>
    <definedName name="CSI_SUBTOTAL_PS">#REF!</definedName>
    <definedName name="CSI_SUBTOTAL_SW" localSheetId="0">#REF!</definedName>
    <definedName name="CSI_SUBTOTAL_SW">#REF!</definedName>
    <definedName name="CurrBase">#REF!</definedName>
    <definedName name="EMC_ADDRESS" localSheetId="0">#REF!</definedName>
    <definedName name="EMC_ADDRESS">#REF!</definedName>
    <definedName name="EMC_BM_TABLE_HEADER" localSheetId="0">#REF!</definedName>
    <definedName name="EMC_BM_TABLE_HEADER">#REF!</definedName>
    <definedName name="EMC_BUSINESS_MONITORING" localSheetId="0">#REF!</definedName>
    <definedName name="EMC_BUSINESS_MONITORING">#REF!</definedName>
    <definedName name="EMC_NO_RULES_BROKEN" localSheetId="0">#REF!</definedName>
    <definedName name="EMC_NO_RULES_BROKEN">#REF!</definedName>
    <definedName name="FJD" hidden="1">{#N/A,#N/A,FALSE,"단축1";#N/A,#N/A,FALSE,"단축2";#N/A,#N/A,FALSE,"단축3";#N/A,#N/A,FALSE,"장축";#N/A,#N/A,FALSE,"4WD"}</definedName>
    <definedName name="FLOOR_ANALYSIS_LINES_TO_FORMAT0" localSheetId="0">#REF!</definedName>
    <definedName name="FLOOR_ANALYSIS_LINES_TO_FORMAT0">#REF!</definedName>
    <definedName name="FLOOR_ANALYSIS_LINES_TO_FORMAT1" localSheetId="0">#REF!</definedName>
    <definedName name="FLOOR_ANALYSIS_LINES_TO_FORMAT1">#REF!</definedName>
    <definedName name="FLOOR_ANALYSIS_SECTION" localSheetId="0">#REF!</definedName>
    <definedName name="FLOOR_ANALYSIS_SECTION">#REF!</definedName>
    <definedName name="FX_RATE">#REF!</definedName>
    <definedName name="GSA_HEADER_FIELDS" localSheetId="0">#REF!</definedName>
    <definedName name="GSA_HEADER_FIELDS">#REF!</definedName>
    <definedName name="HTML_CodePage" hidden="1">1252</definedName>
    <definedName name="HTML_Control" hidden="1">{"'Price List '!$A$1:$R$156"}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"C:\Temp\infoprice\051900\MyHTML.htm"</definedName>
    <definedName name="HTML_Title" hidden="1">"ePL5_19b"</definedName>
    <definedName name="HTML1_1" hidden="1">"'[디자인MXE1.xls]마북OCTANE (2)'!$A$1:$G$33"</definedName>
    <definedName name="HTML1_10" hidden="1">""</definedName>
    <definedName name="HTML1_11" hidden="1">1</definedName>
    <definedName name="HTML1_12" hidden="1">"C:\견적\현대정공\MyHTML.htm"</definedName>
    <definedName name="HTML1_2" hidden="1">1</definedName>
    <definedName name="HTML1_3" hidden="1">"디자인MXE1.xl"</definedName>
    <definedName name="HTML1_4" hidden="1">"마북OCTANE (2)"</definedName>
    <definedName name="HTML1_5" hidden="1">""</definedName>
    <definedName name="HTML1_6" hidden="1">-4146</definedName>
    <definedName name="HTML1_7" hidden="1">-4146</definedName>
    <definedName name="HTML1_8" hidden="1">"98-03-30"</definedName>
    <definedName name="HTML1_9" hidden="1">"임양택"</definedName>
    <definedName name="HTMLCount" hidden="1">1</definedName>
    <definedName name="INSTALL_AT_ADDRESS" localSheetId="0">#REF!</definedName>
    <definedName name="INSTALL_AT_ADDRESS">#REF!</definedName>
    <definedName name="INSTALL_AT_CONTACT" localSheetId="0">#REF!</definedName>
    <definedName name="INSTALL_AT_CONTACT">#REF!</definedName>
    <definedName name="INSTALL_AT_LABEL" localSheetId="0">#REF!</definedName>
    <definedName name="INSTALL_AT_LABEL">#REF!</definedName>
    <definedName name="INSTALL_AT_NAME" localSheetId="0">#REF!</definedName>
    <definedName name="INSTALL_AT_NAME">#REF!</definedName>
    <definedName name="INSTALL_AT_PHONE" localSheetId="0">#REF!</definedName>
    <definedName name="INSTALL_AT_PHONE">#REF!</definedName>
    <definedName name="KIM" hidden="1">{#N/A,#N/A,FALSE,"단축1";#N/A,#N/A,FALSE,"단축2";#N/A,#N/A,FALSE,"단축3";#N/A,#N/A,FALSE,"장축";#N/A,#N/A,FALSE,"4WD"}</definedName>
    <definedName name="MISC_FLD_TITLE" localSheetId="0">#REF!</definedName>
    <definedName name="MISC_FLD_TITLE">#REF!</definedName>
    <definedName name="MISC_LINE_HW" localSheetId="0">#REF!</definedName>
    <definedName name="MISC_LINE_HW">#REF!</definedName>
    <definedName name="MISC_LINE_PS" localSheetId="0">#REF!</definedName>
    <definedName name="MISC_LINE_PS">#REF!</definedName>
    <definedName name="MISC_LINE_SW" localSheetId="0">#REF!</definedName>
    <definedName name="MISC_LINE_SW">#REF!</definedName>
    <definedName name="MISC_SECTION_HW_ALL" localSheetId="0">#REF!</definedName>
    <definedName name="MISC_SECTION_HW_ALL">#REF!</definedName>
    <definedName name="MISC_SECTION_HW_BOT" localSheetId="0">#REF!</definedName>
    <definedName name="MISC_SECTION_HW_BOT">#REF!</definedName>
    <definedName name="MISC_SECTION_HW_TOP" localSheetId="0">#REF!</definedName>
    <definedName name="MISC_SECTION_HW_TOP">#REF!</definedName>
    <definedName name="MISC_SECTION_PS_ALL" localSheetId="0">#REF!</definedName>
    <definedName name="MISC_SECTION_PS_ALL">#REF!</definedName>
    <definedName name="MISC_SECTION_PS_BOT" localSheetId="0">#REF!</definedName>
    <definedName name="MISC_SECTION_PS_BOT">#REF!</definedName>
    <definedName name="MISC_SECTION_PS_TOP" localSheetId="0">#REF!</definedName>
    <definedName name="MISC_SECTION_PS_TOP">#REF!</definedName>
    <definedName name="MISC_SECTION_SW_ALL" localSheetId="0">#REF!</definedName>
    <definedName name="MISC_SECTION_SW_ALL">#REF!</definedName>
    <definedName name="MISC_SECTION_SW_BOT" localSheetId="0">#REF!</definedName>
    <definedName name="MISC_SECTION_SW_BOT">#REF!</definedName>
    <definedName name="MISC_SECTION_SW_TOP" localSheetId="0">#REF!</definedName>
    <definedName name="MISC_SECTION_SW_TOP">#REF!</definedName>
    <definedName name="MISC_SECTION_TITLE" localSheetId="0">#REF!</definedName>
    <definedName name="MISC_SECTION_TITLE">#REF!</definedName>
    <definedName name="MISC_SUBTOTAL_HW" localSheetId="0">#REF!</definedName>
    <definedName name="MISC_SUBTOTAL_HW">#REF!</definedName>
    <definedName name="MISC_SUBTOTAL_PS" localSheetId="0">#REF!</definedName>
    <definedName name="MISC_SUBTOTAL_PS">#REF!</definedName>
    <definedName name="MISC_SUBTOTAL_SW" localSheetId="0">#REF!</definedName>
    <definedName name="MISC_SUBTOTAL_SW">#REF!</definedName>
    <definedName name="NOTES_ZONE_0" localSheetId="0">#REF!</definedName>
    <definedName name="NOTES_ZONE_0">#REF!</definedName>
    <definedName name="NOTES_ZONE_1" localSheetId="0">#REF!</definedName>
    <definedName name="NOTES_ZONE_1">#REF!</definedName>
    <definedName name="NOTES_ZONE_2" localSheetId="0">#REF!</definedName>
    <definedName name="NOTES_ZONE_2">#REF!</definedName>
    <definedName name="OPPTY_SECTION" localSheetId="0">#REF!</definedName>
    <definedName name="OPPTY_SECTION">#REF!</definedName>
    <definedName name="PRECONTRACT_FLD_CFG_NAME" localSheetId="0">#REF!</definedName>
    <definedName name="PRECONTRACT_FLD_CFG_NAME">#REF!</definedName>
    <definedName name="PRECONTRACT_FLD_CSI_DESCIPTION" localSheetId="0">#REF!</definedName>
    <definedName name="PRECONTRACT_FLD_CSI_DESCIPTION">#REF!</definedName>
    <definedName name="PRECONTRACT_FLD_CSI_NAME" localSheetId="0">#REF!</definedName>
    <definedName name="PRECONTRACT_FLD_CSI_NAME">#REF!</definedName>
    <definedName name="PRECONTRACT_LINE" localSheetId="0">#REF!</definedName>
    <definedName name="PRECONTRACT_LINE">#REF!</definedName>
    <definedName name="PRECONTRACT_SECTION" localSheetId="0">#REF!</definedName>
    <definedName name="PRECONTRACT_SECTION">#REF!</definedName>
    <definedName name="PRECONTRACT_SECTION_CFG_TITLE" localSheetId="0">#REF!</definedName>
    <definedName name="PRECONTRACT_SECTION_CFG_TITLE">#REF!</definedName>
    <definedName name="PRECONTRACT_SECTION_CSI" localSheetId="0">#REF!</definedName>
    <definedName name="PRECONTRACT_SECTION_CSI">#REF!</definedName>
    <definedName name="PRICE_JUST_COMMENT" localSheetId="0">#REF!</definedName>
    <definedName name="PRICE_JUST_COMMENT">#REF!</definedName>
    <definedName name="_xlnm.Print_Area" localSheetId="1">'1. 투입공수'!$A$1:$L$10</definedName>
    <definedName name="_xlnm.Print_Area" localSheetId="0">견적!$A$1:$L$59</definedName>
    <definedName name="_xlnm.Print_Titles" localSheetId="0">견적!$15:$16</definedName>
    <definedName name="PROMO_SECTION" localSheetId="0">#REF!</definedName>
    <definedName name="PROMO_SECTION">#REF!</definedName>
    <definedName name="PROPOSAL_SECTION" localSheetId="0">#REF!</definedName>
    <definedName name="PROPOSAL_SECTION">#REF!</definedName>
    <definedName name="PROPOSAL_SECTION_MW" localSheetId="0">#REF!</definedName>
    <definedName name="PROPOSAL_SECTION_MW">#REF!</definedName>
    <definedName name="PROPOSAL_SUBTOTAL_HW" localSheetId="0">#REF!</definedName>
    <definedName name="PROPOSAL_SUBTOTAL_HW">#REF!</definedName>
    <definedName name="PROPOSAL_SUBTOTAL_MW_HW" localSheetId="0">#REF!</definedName>
    <definedName name="PROPOSAL_SUBTOTAL_MW_HW">#REF!</definedName>
    <definedName name="PROPOSAL_SUBTOTAL_MW_SW" localSheetId="0">#REF!</definedName>
    <definedName name="PROPOSAL_SUBTOTAL_MW_SW">#REF!</definedName>
    <definedName name="PROPOSAL_SUBTOTAL_MW_WAR" localSheetId="0">#REF!</definedName>
    <definedName name="PROPOSAL_SUBTOTAL_MW_WAR">#REF!</definedName>
    <definedName name="PROPOSAL_SUBTOTAL_PS" localSheetId="0">#REF!</definedName>
    <definedName name="PROPOSAL_SUBTOTAL_PS">#REF!</definedName>
    <definedName name="PROPOSAL_SUBTOTAL_SW" localSheetId="0">#REF!</definedName>
    <definedName name="PROPOSAL_SUBTOTAL_SW">#REF!</definedName>
    <definedName name="QQ" hidden="1">{#N/A,#N/A,FALSE,"단축1";#N/A,#N/A,FALSE,"단축2";#N/A,#N/A,FALSE,"단축3";#N/A,#N/A,FALSE,"장축";#N/A,#N/A,FALSE,"4WD"}</definedName>
    <definedName name="QUOTE_PRICEBREAK" localSheetId="0">#REF!</definedName>
    <definedName name="QUOTE_PRICEBREAK">#REF!</definedName>
    <definedName name="QUOTE_PS_PRICEBREAK" localSheetId="0">#REF!</definedName>
    <definedName name="QUOTE_PS_PRICEBREAK">#REF!</definedName>
    <definedName name="REDIRECT_SECTION" localSheetId="0">#REF!</definedName>
    <definedName name="REDIRECT_SECTION">#REF!</definedName>
    <definedName name="REPORT_LINES_TO_FORMAT" localSheetId="0">#REF!,#REF!</definedName>
    <definedName name="REPORT_LINES_TO_FORMAT">#REF!,#REF!</definedName>
    <definedName name="REPORT_LINES_TO_FORMAT0" localSheetId="0">#REF!</definedName>
    <definedName name="REPORT_LINES_TO_FORMAT0">#REF!</definedName>
    <definedName name="REPORT_LINES_TO_FORMAT1" localSheetId="0">#REF!</definedName>
    <definedName name="REPORT_LINES_TO_FORMAT1">#REF!</definedName>
    <definedName name="REPORT_LINES_TO_FORMAT2" localSheetId="0">#REF!</definedName>
    <definedName name="REPORT_LINES_TO_FORMAT2">#REF!</definedName>
    <definedName name="REPORT_TOTALS_TO_FORMAT" localSheetId="0">#REF!,#REF!,#REF!</definedName>
    <definedName name="REPORT_TOTALS_TO_FORMAT">#REF!,#REF!,#REF!</definedName>
    <definedName name="REPORT_TOTALS_TO_FORMAT0" localSheetId="0">#REF!</definedName>
    <definedName name="REPORT_TOTALS_TO_FORMAT0">#REF!</definedName>
    <definedName name="REPORT_TOTALS_TO_FORMAT1" localSheetId="0">#REF!</definedName>
    <definedName name="REPORT_TOTALS_TO_FORMAT1">#REF!</definedName>
    <definedName name="REPORT_TOTALS_TO_FORMAT2" localSheetId="0">#REF!</definedName>
    <definedName name="REPORT_TOTALS_TO_FORMAT2">#REF!</definedName>
    <definedName name="REPORT_TOTALS_TO_FORMAT3" localSheetId="0">#REF!</definedName>
    <definedName name="REPORT_TOTALS_TO_FORMAT3">#REF!</definedName>
    <definedName name="REPORT_TOTALS_TO_FORMAT4" localSheetId="0">#REF!</definedName>
    <definedName name="REPORT_TOTALS_TO_FORMAT4">#REF!</definedName>
    <definedName name="REPORT_TOTALS_TO_FORMAT5" localSheetId="0">#REF!</definedName>
    <definedName name="REPORT_TOTALS_TO_FORMAT5">#REF!</definedName>
    <definedName name="SAP" hidden="1">{"'Price List '!$A$1:$R$156"}</definedName>
    <definedName name="SHIP_TO_ADDRESS" localSheetId="0">#REF!</definedName>
    <definedName name="SHIP_TO_ADDRESS">#REF!</definedName>
    <definedName name="SHIP_TO_CONTACT" localSheetId="0">#REF!</definedName>
    <definedName name="SHIP_TO_CONTACT">#REF!</definedName>
    <definedName name="SHIP_TO_LABEL" localSheetId="0">#REF!</definedName>
    <definedName name="SHIP_TO_LABEL">#REF!</definedName>
    <definedName name="SHIP_TO_NAME" localSheetId="0">#REF!</definedName>
    <definedName name="SHIP_TO_NAME">#REF!</definedName>
    <definedName name="SHIP_TO_PHONE" localSheetId="0">#REF!</definedName>
    <definedName name="SHIP_TO_PHONE">#REF!</definedName>
    <definedName name="SHIPPING_ZONE_0" localSheetId="0">#REF!</definedName>
    <definedName name="SHIPPING_ZONE_0">#REF!</definedName>
    <definedName name="SHIPPING_ZONE_1" localSheetId="0">#REF!</definedName>
    <definedName name="SHIPPING_ZONE_1">#REF!</definedName>
    <definedName name="SHIPPING_ZONE_2" localSheetId="0">#REF!</definedName>
    <definedName name="SHIPPING_ZONE_2">#REF!</definedName>
    <definedName name="SOLD_TO_ADDRESS" localSheetId="0">#REF!</definedName>
    <definedName name="SOLD_TO_ADDRESS">#REF!</definedName>
    <definedName name="SOLD_TO_CONTACT" localSheetId="0">#REF!</definedName>
    <definedName name="SOLD_TO_CONTACT">#REF!</definedName>
    <definedName name="SOLD_TO_LABEL" localSheetId="0">#REF!</definedName>
    <definedName name="SOLD_TO_LABEL">#REF!</definedName>
    <definedName name="SOLD_TO_NAME" localSheetId="0">#REF!</definedName>
    <definedName name="SOLD_TO_NAME">#REF!</definedName>
    <definedName name="SOLD_TO_PHONE" localSheetId="0">#REF!</definedName>
    <definedName name="SOLD_TO_PHONE">#REF!</definedName>
    <definedName name="TRADEIN_SECTION" localSheetId="0">#REF!</definedName>
    <definedName name="TRADEIN_SECTION">#REF!</definedName>
    <definedName name="TRADEIN_SECTION_TOTAL" localSheetId="0">#REF!</definedName>
    <definedName name="TRADEIN_SECTION_TOTAL">#REF!</definedName>
    <definedName name="TT" hidden="1">{#N/A,#N/A,FALSE,"단축1";#N/A,#N/A,FALSE,"단축2";#N/A,#N/A,FALSE,"단축3";#N/A,#N/A,FALSE,"장축";#N/A,#N/A,FALSE,"4WD"}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선사." hidden="1">{#N/A,#N/A,FALSE,"품의서";#N/A,#N/A,FALSE,"전제";#N/A,#N/A,FALSE,"총손";#N/A,#N/A,FALSE,"손익"}</definedName>
    <definedName name="wrn.전부인쇄." hidden="1">{#N/A,#N/A,FALSE,"단축1";#N/A,#N/A,FALSE,"단축2";#N/A,#N/A,FALSE,"단축3";#N/A,#N/A,FALSE,"장축";#N/A,#N/A,FALSE,"4WD"}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견" hidden="1">{"'Price List '!$A$1:$R$156"}</definedName>
    <definedName name="근거2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ㅁ" hidden="1">#REF!</definedName>
    <definedName name="ㅁㄴㅇ" hidden="1">{#N/A,#N/A,FALSE,"단축1";#N/A,#N/A,FALSE,"단축2";#N/A,#N/A,FALSE,"단축3";#N/A,#N/A,FALSE,"장축";#N/A,#N/A,FALSE,"4WD"}</definedName>
    <definedName name="생산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셀리카" hidden="1">#REF!</definedName>
    <definedName name="수익4속" hidden="1">{#N/A,#N/A,FALSE,"단축1";#N/A,#N/A,FALSE,"단축2";#N/A,#N/A,FALSE,"단축3";#N/A,#N/A,FALSE,"장축";#N/A,#N/A,FALSE,"4WD"}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열처리" hidden="1">{#N/A,#N/A,FALSE,"단축1";#N/A,#N/A,FALSE,"단축2";#N/A,#N/A,FALSE,"단축3";#N/A,#N/A,FALSE,"장축";#N/A,#N/A,FALSE,"4WD"}</definedName>
    <definedName name="전차종" hidden="1">{#N/A,#N/A,FALSE,"표지";#N/A,#N/A,FALSE,"전제";#N/A,#N/A,FALSE,"대당";#N/A,#N/A,FALSE,"가공비";#N/A,#N/A,FALSE,"재료비";#N/A,#N/A,FALSE,"손익"}</definedName>
    <definedName name="조립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통" hidden="1">{"'Price List '!$A$1:$R$156"}</definedName>
    <definedName name="투입공수" hidden="1">{"'Price List '!$A$1:$R$156"}</definedName>
    <definedName name="투자CONC.182억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16" l="1"/>
  <c r="H7" i="12" l="1"/>
  <c r="I7" i="12"/>
  <c r="I18" i="16" l="1"/>
  <c r="H18" i="16"/>
  <c r="E17" i="16"/>
  <c r="C17" i="16" l="1"/>
  <c r="J6" i="12" l="1"/>
  <c r="J7" i="12" s="1"/>
  <c r="D17" i="16"/>
  <c r="F17" i="16" l="1"/>
  <c r="F18" i="16" s="1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29" i="16"/>
  <c r="I45" i="16" l="1"/>
  <c r="I42" i="16"/>
  <c r="I39" i="16"/>
  <c r="I38" i="16"/>
  <c r="I37" i="16"/>
  <c r="I34" i="16"/>
  <c r="I31" i="16"/>
  <c r="I30" i="16"/>
  <c r="I29" i="16"/>
  <c r="G17" i="16" l="1"/>
  <c r="I40" i="16"/>
  <c r="I32" i="16"/>
  <c r="I35" i="16"/>
  <c r="I43" i="16"/>
  <c r="I33" i="16"/>
  <c r="I41" i="16"/>
  <c r="I36" i="16"/>
  <c r="I44" i="16"/>
  <c r="J17" i="16" l="1"/>
  <c r="G18" i="16"/>
  <c r="J18" i="16" l="1"/>
  <c r="K17" i="16"/>
  <c r="K18" i="16" l="1"/>
  <c r="H22" i="16" s="1"/>
  <c r="I25" i="16" s="1"/>
  <c r="D13" i="16" s="1"/>
</calcChain>
</file>

<file path=xl/sharedStrings.xml><?xml version="1.0" encoding="utf-8"?>
<sst xmlns="http://schemas.openxmlformats.org/spreadsheetml/2006/main" count="108" uniqueCount="107">
  <si>
    <t>단위 : 백만</t>
    <phoneticPr fontId="9" type="noConversion"/>
  </si>
  <si>
    <t>제안 참가 신청서</t>
    <phoneticPr fontId="9" type="noConversion"/>
  </si>
  <si>
    <t>1. 제안건명</t>
    <phoneticPr fontId="9" type="noConversion"/>
  </si>
  <si>
    <t>2.  제안서 제출일시</t>
    <phoneticPr fontId="9" type="noConversion"/>
  </si>
  <si>
    <t>3. 제안서 제출 장소</t>
    <phoneticPr fontId="9" type="noConversion"/>
  </si>
  <si>
    <t>본 업체는 귀사가 실시하는 제안요청에 참가하고자 귀사의 제안요청사항을 전적으로 승낙하고 본</t>
    <phoneticPr fontId="9" type="noConversion"/>
  </si>
  <si>
    <t>제안 참가 신청서를 제출합니다</t>
    <phoneticPr fontId="9" type="noConversion"/>
  </si>
  <si>
    <t>유첨</t>
    <phoneticPr fontId="9" type="noConversion"/>
  </si>
  <si>
    <t>1. 사업자 등록증 1부(협력업체 포함)</t>
    <phoneticPr fontId="9" type="noConversion"/>
  </si>
  <si>
    <t>2. 국세, 지방세 완납 증명서 1부(협력업체 포함)</t>
    <phoneticPr fontId="9" type="noConversion"/>
  </si>
  <si>
    <t>3. 제안서 제출자 위임장 1부</t>
    <phoneticPr fontId="9" type="noConversion"/>
  </si>
  <si>
    <t>4. 제안서 3부, 제안 요약본 5부, CD 2매</t>
    <phoneticPr fontId="9" type="noConversion"/>
  </si>
  <si>
    <t>제안 참가 신청자</t>
    <phoneticPr fontId="9" type="noConversion"/>
  </si>
  <si>
    <t xml:space="preserve"> 주소</t>
    <phoneticPr fontId="9" type="noConversion"/>
  </si>
  <si>
    <t xml:space="preserve"> 업체명</t>
    <phoneticPr fontId="9" type="noConversion"/>
  </si>
  <si>
    <t xml:space="preserve"> 대표자</t>
    <phoneticPr fontId="9" type="noConversion"/>
  </si>
  <si>
    <t>(인)</t>
    <phoneticPr fontId="9" type="noConversion"/>
  </si>
  <si>
    <t>구분</t>
    <phoneticPr fontId="9" type="noConversion"/>
  </si>
  <si>
    <t xml:space="preserve">견   적   서 </t>
  </si>
  <si>
    <t>아래와 같이 견적합니다.</t>
  </si>
  <si>
    <t xml:space="preserve">견 적 금 액 (VAT 별도)  : </t>
  </si>
  <si>
    <t>(단위: 원)</t>
    <phoneticPr fontId="9" type="noConversion"/>
  </si>
  <si>
    <t>내역</t>
    <phoneticPr fontId="9" type="noConversion"/>
  </si>
  <si>
    <t>공    급    가    합    계(VAT별도)</t>
    <phoneticPr fontId="9" type="noConversion"/>
  </si>
  <si>
    <t>일노임단가</t>
  </si>
  <si>
    <t>월노임단가</t>
  </si>
  <si>
    <t>제경비</t>
  </si>
  <si>
    <t>기술료</t>
  </si>
  <si>
    <t>1. IT기획자</t>
  </si>
  <si>
    <t>2. IT컨설턴트</t>
  </si>
  <si>
    <t>(주)엠제이아이티</t>
    <phoneticPr fontId="9" type="noConversion"/>
  </si>
  <si>
    <t>구분</t>
    <phoneticPr fontId="21" type="noConversion"/>
  </si>
  <si>
    <t>역할/업무</t>
    <phoneticPr fontId="9" type="noConversion"/>
  </si>
  <si>
    <t>총합
(M/M)</t>
    <phoneticPr fontId="9" type="noConversion"/>
  </si>
  <si>
    <t>합계</t>
    <phoneticPr fontId="43" type="noConversion"/>
  </si>
  <si>
    <t>MM단가</t>
    <phoneticPr fontId="9" type="noConversion"/>
  </si>
  <si>
    <t>월단가</t>
    <phoneticPr fontId="9" type="noConversion"/>
  </si>
  <si>
    <t>합계</t>
    <phoneticPr fontId="9" type="noConversion"/>
  </si>
  <si>
    <t>대표이사 김 미 정</t>
    <phoneticPr fontId="9" type="noConversion"/>
  </si>
  <si>
    <t>비고</t>
    <phoneticPr fontId="9" type="noConversion"/>
  </si>
  <si>
    <t>1. 본 견적은 상기 고객사에만 적용됩니다.</t>
    <phoneticPr fontId="9" type="noConversion"/>
  </si>
  <si>
    <t>비   고</t>
    <phoneticPr fontId="9" type="noConversion"/>
  </si>
  <si>
    <t>비고</t>
    <phoneticPr fontId="9" type="noConversion"/>
  </si>
  <si>
    <t>제안금액</t>
    <phoneticPr fontId="9" type="noConversion"/>
  </si>
  <si>
    <t>MM</t>
    <phoneticPr fontId="9" type="noConversion"/>
  </si>
  <si>
    <t>종 목</t>
    <phoneticPr fontId="9" type="noConversion"/>
  </si>
  <si>
    <t>담    당    자</t>
  </si>
  <si>
    <t>견적일로부터 30일</t>
    <phoneticPr fontId="9" type="noConversion"/>
  </si>
  <si>
    <t>견적유효기간</t>
  </si>
  <si>
    <t>결  제  조  건</t>
  </si>
  <si>
    <t>발주 후 4주 이내</t>
  </si>
  <si>
    <t>납           기</t>
    <phoneticPr fontId="9" type="noConversion"/>
  </si>
  <si>
    <t>견  적  일  자</t>
  </si>
  <si>
    <t>참      조</t>
  </si>
  <si>
    <t>견  적  번  호</t>
  </si>
  <si>
    <t>할인금액</t>
    <phoneticPr fontId="9" type="noConversion"/>
  </si>
  <si>
    <t>할인률</t>
    <phoneticPr fontId="9" type="noConversion"/>
  </si>
  <si>
    <t>할인</t>
    <phoneticPr fontId="9" type="noConversion"/>
  </si>
  <si>
    <t>만원단위절사</t>
    <phoneticPr fontId="9" type="noConversion"/>
  </si>
  <si>
    <t>2. 결제조건 : 고객사 지급조건에 따릅니다.</t>
    <phoneticPr fontId="9" type="noConversion"/>
  </si>
  <si>
    <r>
      <rPr>
        <sz val="24"/>
        <rFont val="Impact"/>
        <family val="2"/>
      </rPr>
      <t>MJ</t>
    </r>
    <r>
      <rPr>
        <sz val="24"/>
        <color indexed="10"/>
        <rFont val="Impact"/>
        <family val="2"/>
      </rPr>
      <t>I</t>
    </r>
    <r>
      <rPr>
        <sz val="24"/>
        <color indexed="23"/>
        <rFont val="Impact"/>
        <family val="2"/>
      </rPr>
      <t>T</t>
    </r>
    <r>
      <rPr>
        <b/>
        <sz val="9"/>
        <rFont val="맑은 고딕"/>
        <family val="3"/>
        <charset val="129"/>
      </rPr>
      <t>(주)엠제이아이티</t>
    </r>
    <phoneticPr fontId="9" type="noConversion"/>
  </si>
  <si>
    <t>경기도 성남시 중원구 사기막골로 62번길 33, 성남센터엠지식산업센터 S1207</t>
    <phoneticPr fontId="9" type="noConversion"/>
  </si>
  <si>
    <t>이승국이사(010-7166-9715)</t>
    <phoneticPr fontId="9" type="noConversion"/>
  </si>
  <si>
    <t>상세업무</t>
    <phoneticPr fontId="9" type="noConversion"/>
  </si>
  <si>
    <t>등급 차액%</t>
    <phoneticPr fontId="9" type="noConversion"/>
  </si>
  <si>
    <t>등급기준 단가</t>
    <phoneticPr fontId="9" type="noConversion"/>
  </si>
  <si>
    <t>별첨1. 투입공수</t>
    <phoneticPr fontId="9" type="noConversion"/>
  </si>
  <si>
    <t>고객사 기준에 따름</t>
    <phoneticPr fontId="9" type="noConversion"/>
  </si>
  <si>
    <t>견적명</t>
    <phoneticPr fontId="9" type="noConversion"/>
  </si>
  <si>
    <t>KT DS 귀중</t>
    <phoneticPr fontId="9" type="noConversion"/>
  </si>
  <si>
    <t>3. 업무분석가</t>
    <phoneticPr fontId="9" type="noConversion"/>
  </si>
  <si>
    <t>4. 데이터분석사</t>
    <phoneticPr fontId="9" type="noConversion"/>
  </si>
  <si>
    <t>6. IT 아키덱트</t>
    <phoneticPr fontId="9" type="noConversion"/>
  </si>
  <si>
    <t>7. UI/UX기획/개발자</t>
    <phoneticPr fontId="9" type="noConversion"/>
  </si>
  <si>
    <t>8. UI/UX디자이너</t>
    <phoneticPr fontId="9" type="noConversion"/>
  </si>
  <si>
    <t>9. 응용SW개발자</t>
    <phoneticPr fontId="9" type="noConversion"/>
  </si>
  <si>
    <t>10. 시스템SW개발자</t>
    <phoneticPr fontId="9" type="noConversion"/>
  </si>
  <si>
    <t>11. 정보시스템운용자</t>
    <phoneticPr fontId="9" type="noConversion"/>
  </si>
  <si>
    <t>12. IT지원기술자</t>
    <phoneticPr fontId="9" type="noConversion"/>
  </si>
  <si>
    <t>13. IT마케터</t>
    <phoneticPr fontId="9" type="noConversion"/>
  </si>
  <si>
    <t>14. IT품질관리자</t>
    <phoneticPr fontId="9" type="noConversion"/>
  </si>
  <si>
    <t>15. IT테스터</t>
    <phoneticPr fontId="9" type="noConversion"/>
  </si>
  <si>
    <t>16. IT감리</t>
    <phoneticPr fontId="9" type="noConversion"/>
  </si>
  <si>
    <t>17. 정보보안전문가</t>
    <phoneticPr fontId="9" type="noConversion"/>
  </si>
  <si>
    <t>개별 할인</t>
    <phoneticPr fontId="9" type="noConversion"/>
  </si>
  <si>
    <t>박철근 차장님</t>
    <phoneticPr fontId="9" type="noConversion"/>
  </si>
  <si>
    <t>등급</t>
    <phoneticPr fontId="9" type="noConversion"/>
  </si>
  <si>
    <t>2025년 SW기술자 노임단가</t>
    <phoneticPr fontId="9" type="noConversion"/>
  </si>
  <si>
    <t>5. IT PM</t>
    <phoneticPr fontId="9" type="noConversion"/>
  </si>
  <si>
    <t>상세 업무</t>
    <phoneticPr fontId="15" type="noConversion"/>
  </si>
  <si>
    <t>투입인력</t>
    <phoneticPr fontId="9" type="noConversion"/>
  </si>
  <si>
    <t>박예준</t>
    <phoneticPr fontId="9" type="noConversion"/>
  </si>
  <si>
    <t>역할</t>
    <phoneticPr fontId="9" type="noConversion"/>
  </si>
  <si>
    <t>학력</t>
    <phoneticPr fontId="9" type="noConversion"/>
  </si>
  <si>
    <t>경력</t>
    <phoneticPr fontId="9" type="noConversion"/>
  </si>
  <si>
    <t>학사</t>
    <phoneticPr fontId="9" type="noConversion"/>
  </si>
  <si>
    <t>금액</t>
    <phoneticPr fontId="9" type="noConversion"/>
  </si>
  <si>
    <t>2026년</t>
    <phoneticPr fontId="9" type="noConversion"/>
  </si>
  <si>
    <t>3월</t>
  </si>
  <si>
    <t>Acen 스패로우 조치</t>
    <phoneticPr fontId="9" type="noConversion"/>
  </si>
  <si>
    <t>개발</t>
    <phoneticPr fontId="9" type="noConversion"/>
  </si>
  <si>
    <t>Acen 개발</t>
    <phoneticPr fontId="9" type="noConversion"/>
  </si>
  <si>
    <t>2월</t>
    <phoneticPr fontId="9" type="noConversion"/>
  </si>
  <si>
    <t>KT Acen 스패로우 조치</t>
    <phoneticPr fontId="9" type="noConversion"/>
  </si>
  <si>
    <t>一金 일천이백만원정 (12,000,000)</t>
    <phoneticPr fontId="9" type="noConversion"/>
  </si>
  <si>
    <t>MJ260223-001</t>
    <phoneticPr fontId="9" type="noConversion"/>
  </si>
  <si>
    <t>고급(하)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</si>
</sst>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[$₩-412]* #,##0.00_-;\-[$₩-412]* #,##0.00_-;_-[$₩-412]* &quot;-&quot;??_-;_-@_-"/>
    <numFmt numFmtId="177" formatCode="&quot;₩&quot;#,##0&quot;원&quot;"/>
    <numFmt numFmtId="178" formatCode="#,##0\ &quot;원&quot;"/>
    <numFmt numFmtId="179" formatCode="0.00_);[Red]\(0.00\)"/>
    <numFmt numFmtId="180" formatCode="0_);[Red]\(0\)"/>
    <numFmt numFmtId="181" formatCode="0.0"/>
    <numFmt numFmtId="182" formatCode="mm&quot;월&quot;\ dd&quot;일&quot;"/>
    <numFmt numFmtId="183" formatCode="#,##0_ "/>
    <numFmt numFmtId="184" formatCode="0.0%"/>
  </numFmts>
  <fonts count="6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name val="굴림"/>
      <family val="3"/>
      <charset val="129"/>
    </font>
    <font>
      <sz val="12"/>
      <color indexed="8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u/>
      <sz val="11"/>
      <name val="맑은 고딕"/>
      <family val="3"/>
      <charset val="129"/>
    </font>
    <font>
      <sz val="8"/>
      <name val="맑은 고딕"/>
      <family val="3"/>
      <charset val="129"/>
    </font>
    <font>
      <sz val="7.5"/>
      <name val="맑은 고딕"/>
      <family val="3"/>
      <charset val="129"/>
    </font>
    <font>
      <b/>
      <u/>
      <sz val="9"/>
      <name val="맑은 고딕"/>
      <family val="3"/>
      <charset val="129"/>
    </font>
    <font>
      <u/>
      <sz val="9"/>
      <name val="맑은 고딕"/>
      <family val="3"/>
      <charset val="129"/>
    </font>
    <font>
      <sz val="9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b/>
      <sz val="12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HY헤드라인M"/>
      <family val="1"/>
      <charset val="129"/>
    </font>
    <font>
      <sz val="9"/>
      <name val="HY헤드라인M"/>
      <family val="1"/>
      <charset val="129"/>
    </font>
    <font>
      <sz val="10"/>
      <name val="Tahoma"/>
      <family val="2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Helv"/>
      <family val="2"/>
    </font>
    <font>
      <sz val="9"/>
      <name val="돋움체"/>
      <family val="3"/>
      <charset val="129"/>
    </font>
    <font>
      <sz val="8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Tahoma"/>
      <family val="2"/>
    </font>
    <font>
      <sz val="9"/>
      <name val="굴림"/>
      <family val="3"/>
      <charset val="129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b/>
      <i/>
      <sz val="1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Tahoma"/>
      <family val="2"/>
    </font>
    <font>
      <b/>
      <sz val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name val="맑은 고딕"/>
      <family val="3"/>
      <charset val="129"/>
    </font>
    <font>
      <b/>
      <sz val="24"/>
      <name val="맑은 고딕"/>
      <family val="2"/>
      <charset val="129"/>
    </font>
    <font>
      <sz val="24"/>
      <name val="Impact"/>
      <family val="2"/>
    </font>
    <font>
      <sz val="24"/>
      <color indexed="10"/>
      <name val="Impact"/>
      <family val="2"/>
    </font>
    <font>
      <sz val="24"/>
      <color indexed="23"/>
      <name val="Impact"/>
      <family val="2"/>
    </font>
    <font>
      <b/>
      <sz val="11"/>
      <color theme="1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color rgb="FF333333"/>
      <name val="맑은 고딕"/>
      <family val="3"/>
      <charset val="129"/>
      <scheme val="maj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1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1" fillId="0" borderId="0">
      <alignment vertical="center"/>
    </xf>
    <xf numFmtId="0" fontId="35" fillId="0" borderId="0"/>
    <xf numFmtId="0" fontId="46" fillId="0" borderId="0"/>
    <xf numFmtId="41" fontId="8" fillId="0" borderId="0" applyFont="0" applyFill="0" applyBorder="0" applyAlignment="0" applyProtection="0"/>
  </cellStyleXfs>
  <cellXfs count="182">
    <xf numFmtId="0" fontId="0" fillId="0" borderId="0" xfId="0">
      <alignment vertical="center"/>
    </xf>
    <xf numFmtId="0" fontId="11" fillId="0" borderId="0" xfId="0" applyFont="1">
      <alignment vertical="center"/>
    </xf>
    <xf numFmtId="0" fontId="13" fillId="0" borderId="0" xfId="25" applyFont="1">
      <alignment vertical="center"/>
    </xf>
    <xf numFmtId="0" fontId="11" fillId="0" borderId="0" xfId="15" applyFont="1" applyAlignment="1">
      <alignment vertical="center"/>
    </xf>
    <xf numFmtId="0" fontId="21" fillId="6" borderId="2" xfId="15" applyFont="1" applyFill="1" applyBorder="1" applyAlignment="1">
      <alignment vertical="center"/>
    </xf>
    <xf numFmtId="49" fontId="20" fillId="0" borderId="2" xfId="15" applyNumberFormat="1" applyFont="1" applyBorder="1" applyAlignment="1">
      <alignment horizontal="center" vertical="center" wrapText="1"/>
    </xf>
    <xf numFmtId="0" fontId="22" fillId="6" borderId="0" xfId="15" applyFont="1" applyFill="1" applyAlignment="1">
      <alignment vertical="center"/>
    </xf>
    <xf numFmtId="49" fontId="20" fillId="0" borderId="0" xfId="15" applyNumberFormat="1" applyFont="1" applyAlignment="1">
      <alignment horizontal="center" vertical="center" wrapText="1"/>
    </xf>
    <xf numFmtId="49" fontId="23" fillId="0" borderId="0" xfId="15" applyNumberFormat="1" applyFont="1" applyAlignment="1">
      <alignment horizontal="center" vertical="center" wrapText="1"/>
    </xf>
    <xf numFmtId="49" fontId="24" fillId="0" borderId="0" xfId="15" applyNumberFormat="1" applyFont="1" applyAlignment="1">
      <alignment horizontal="center" vertical="center" wrapText="1"/>
    </xf>
    <xf numFmtId="0" fontId="25" fillId="0" borderId="0" xfId="15" applyFont="1" applyAlignment="1">
      <alignment vertical="center"/>
    </xf>
    <xf numFmtId="0" fontId="27" fillId="0" borderId="0" xfId="15" applyFont="1" applyAlignment="1">
      <alignment horizontal="left" vertical="center"/>
    </xf>
    <xf numFmtId="0" fontId="28" fillId="0" borderId="0" xfId="15" applyFont="1" applyAlignment="1">
      <alignment horizontal="center" vertical="center"/>
    </xf>
    <xf numFmtId="0" fontId="29" fillId="0" borderId="0" xfId="15" applyFont="1" applyAlignment="1">
      <alignment vertical="center" wrapText="1"/>
    </xf>
    <xf numFmtId="0" fontId="28" fillId="0" borderId="0" xfId="15" applyFont="1" applyAlignment="1">
      <alignment vertical="center"/>
    </xf>
    <xf numFmtId="0" fontId="29" fillId="6" borderId="11" xfId="15" applyFont="1" applyFill="1" applyBorder="1" applyAlignment="1">
      <alignment vertical="center"/>
    </xf>
    <xf numFmtId="177" fontId="29" fillId="6" borderId="11" xfId="15" applyNumberFormat="1" applyFont="1" applyFill="1" applyBorder="1" applyAlignment="1">
      <alignment horizontal="center" vertical="center"/>
    </xf>
    <xf numFmtId="178" fontId="29" fillId="0" borderId="11" xfId="15" applyNumberFormat="1" applyFont="1" applyBorder="1" applyAlignment="1">
      <alignment vertical="center" wrapText="1"/>
    </xf>
    <xf numFmtId="0" fontId="28" fillId="0" borderId="0" xfId="15" applyFont="1" applyAlignment="1">
      <alignment horizontal="left" vertical="center"/>
    </xf>
    <xf numFmtId="41" fontId="28" fillId="0" borderId="0" xfId="15" applyNumberFormat="1" applyFont="1" applyAlignment="1">
      <alignment horizontal="right" vertical="center"/>
    </xf>
    <xf numFmtId="0" fontId="30" fillId="6" borderId="0" xfId="15" applyFont="1" applyFill="1" applyAlignment="1">
      <alignment horizontal="left" vertical="center"/>
    </xf>
    <xf numFmtId="49" fontId="31" fillId="6" borderId="0" xfId="15" applyNumberFormat="1" applyFont="1" applyFill="1" applyAlignment="1">
      <alignment horizontal="left" vertical="center"/>
    </xf>
    <xf numFmtId="0" fontId="32" fillId="6" borderId="0" xfId="15" applyFont="1" applyFill="1" applyAlignment="1">
      <alignment vertical="center"/>
    </xf>
    <xf numFmtId="38" fontId="32" fillId="6" borderId="0" xfId="3" applyNumberFormat="1" applyFont="1" applyFill="1" applyAlignment="1">
      <alignment vertical="center"/>
    </xf>
    <xf numFmtId="38" fontId="32" fillId="6" borderId="0" xfId="15" applyNumberFormat="1" applyFont="1" applyFill="1" applyAlignment="1">
      <alignment horizontal="right" vertical="center"/>
    </xf>
    <xf numFmtId="0" fontId="18" fillId="6" borderId="0" xfId="15" applyFont="1" applyFill="1" applyAlignment="1">
      <alignment horizontal="right" vertical="center"/>
    </xf>
    <xf numFmtId="0" fontId="33" fillId="4" borderId="12" xfId="15" applyFont="1" applyFill="1" applyBorder="1" applyAlignment="1">
      <alignment horizontal="center" vertical="center"/>
    </xf>
    <xf numFmtId="0" fontId="34" fillId="0" borderId="0" xfId="15" applyFont="1" applyAlignment="1">
      <alignment vertical="center"/>
    </xf>
    <xf numFmtId="0" fontId="36" fillId="0" borderId="0" xfId="15" applyFont="1" applyAlignment="1">
      <alignment vertical="center"/>
    </xf>
    <xf numFmtId="179" fontId="40" fillId="10" borderId="20" xfId="37" applyNumberFormat="1" applyFont="1" applyFill="1" applyBorder="1" applyAlignment="1">
      <alignment horizontal="center" vertical="center"/>
    </xf>
    <xf numFmtId="180" fontId="40" fillId="10" borderId="18" xfId="37" applyNumberFormat="1" applyFont="1" applyFill="1" applyBorder="1" applyAlignment="1">
      <alignment horizontal="center" vertical="center"/>
    </xf>
    <xf numFmtId="0" fontId="44" fillId="6" borderId="0" xfId="15" applyFont="1" applyFill="1" applyAlignment="1">
      <alignment vertical="center"/>
    </xf>
    <xf numFmtId="38" fontId="44" fillId="6" borderId="0" xfId="15" applyNumberFormat="1" applyFont="1" applyFill="1" applyAlignment="1">
      <alignment vertical="center"/>
    </xf>
    <xf numFmtId="38" fontId="44" fillId="6" borderId="0" xfId="3" applyNumberFormat="1" applyFont="1" applyFill="1" applyAlignment="1">
      <alignment vertical="center"/>
    </xf>
    <xf numFmtId="49" fontId="44" fillId="6" borderId="0" xfId="15" applyNumberFormat="1" applyFont="1" applyFill="1" applyAlignment="1">
      <alignment vertical="center"/>
    </xf>
    <xf numFmtId="0" fontId="44" fillId="6" borderId="0" xfId="15" applyFont="1" applyFill="1" applyAlignment="1">
      <alignment horizontal="center" vertical="center"/>
    </xf>
    <xf numFmtId="0" fontId="25" fillId="0" borderId="0" xfId="15" applyFont="1" applyAlignment="1">
      <alignment horizontal="right" vertical="center"/>
    </xf>
    <xf numFmtId="38" fontId="44" fillId="6" borderId="24" xfId="15" applyNumberFormat="1" applyFont="1" applyFill="1" applyBorder="1" applyAlignment="1">
      <alignment vertical="center"/>
    </xf>
    <xf numFmtId="0" fontId="25" fillId="0" borderId="24" xfId="15" applyFont="1" applyBorder="1" applyAlignment="1">
      <alignment horizontal="right" vertical="center"/>
    </xf>
    <xf numFmtId="0" fontId="45" fillId="0" borderId="0" xfId="15" applyFont="1" applyAlignment="1">
      <alignment vertical="center"/>
    </xf>
    <xf numFmtId="0" fontId="45" fillId="0" borderId="24" xfId="38" quotePrefix="1" applyFont="1" applyBorder="1" applyAlignment="1">
      <alignment horizontal="left" vertical="center" wrapText="1"/>
    </xf>
    <xf numFmtId="0" fontId="47" fillId="0" borderId="0" xfId="39" applyFont="1" applyAlignment="1">
      <alignment horizontal="left" vertical="center" wrapText="1"/>
    </xf>
    <xf numFmtId="0" fontId="47" fillId="0" borderId="24" xfId="39" applyFont="1" applyBorder="1" applyAlignment="1">
      <alignment horizontal="left" vertical="center" wrapText="1"/>
    </xf>
    <xf numFmtId="0" fontId="48" fillId="5" borderId="13" xfId="34" applyFont="1" applyFill="1" applyBorder="1" applyAlignment="1">
      <alignment horizontal="center" vertical="center" wrapText="1"/>
    </xf>
    <xf numFmtId="0" fontId="51" fillId="6" borderId="0" xfId="15" applyFont="1" applyFill="1" applyAlignment="1">
      <alignment vertical="center"/>
    </xf>
    <xf numFmtId="0" fontId="33" fillId="4" borderId="28" xfId="15" applyFont="1" applyFill="1" applyBorder="1" applyAlignment="1">
      <alignment horizontal="center" vertical="center"/>
    </xf>
    <xf numFmtId="38" fontId="33" fillId="4" borderId="3" xfId="3" applyNumberFormat="1" applyFont="1" applyFill="1" applyBorder="1" applyAlignment="1">
      <alignment horizontal="center" vertical="center"/>
    </xf>
    <xf numFmtId="0" fontId="33" fillId="4" borderId="37" xfId="15" applyFont="1" applyFill="1" applyBorder="1" applyAlignment="1">
      <alignment horizontal="center" vertical="center"/>
    </xf>
    <xf numFmtId="49" fontId="33" fillId="4" borderId="25" xfId="15" applyNumberFormat="1" applyFont="1" applyFill="1" applyBorder="1" applyAlignment="1">
      <alignment horizontal="center" vertical="center"/>
    </xf>
    <xf numFmtId="0" fontId="52" fillId="0" borderId="0" xfId="15" applyFont="1" applyAlignment="1">
      <alignment horizontal="center" vertical="center"/>
    </xf>
    <xf numFmtId="0" fontId="25" fillId="0" borderId="0" xfId="15" applyFont="1" applyAlignment="1">
      <alignment horizontal="center" vertical="center"/>
    </xf>
    <xf numFmtId="182" fontId="25" fillId="0" borderId="0" xfId="15" applyNumberFormat="1" applyFont="1" applyAlignment="1">
      <alignment horizontal="left" vertical="center"/>
    </xf>
    <xf numFmtId="0" fontId="25" fillId="0" borderId="0" xfId="15" applyFont="1" applyAlignment="1">
      <alignment horizontal="left" vertical="center"/>
    </xf>
    <xf numFmtId="0" fontId="28" fillId="0" borderId="0" xfId="15" applyFont="1" applyAlignment="1">
      <alignment vertical="center" wrapText="1"/>
    </xf>
    <xf numFmtId="0" fontId="11" fillId="6" borderId="0" xfId="15" applyFont="1" applyFill="1" applyAlignment="1">
      <alignment vertical="center"/>
    </xf>
    <xf numFmtId="0" fontId="19" fillId="6" borderId="0" xfId="15" applyFont="1" applyFill="1" applyAlignment="1">
      <alignment horizontal="center" vertical="center"/>
    </xf>
    <xf numFmtId="0" fontId="25" fillId="6" borderId="0" xfId="15" applyFont="1" applyFill="1" applyAlignment="1">
      <alignment horizontal="left" vertical="center"/>
    </xf>
    <xf numFmtId="0" fontId="25" fillId="6" borderId="1" xfId="15" applyFont="1" applyFill="1" applyBorder="1" applyAlignment="1">
      <alignment horizontal="centerContinuous" vertical="center"/>
    </xf>
    <xf numFmtId="49" fontId="24" fillId="6" borderId="0" xfId="15" applyNumberFormat="1" applyFont="1" applyFill="1" applyAlignment="1">
      <alignment horizontal="center" vertical="center" wrapText="1"/>
    </xf>
    <xf numFmtId="0" fontId="25" fillId="6" borderId="0" xfId="15" applyFont="1" applyFill="1" applyAlignment="1">
      <alignment vertical="center"/>
    </xf>
    <xf numFmtId="31" fontId="25" fillId="6" borderId="0" xfId="15" applyNumberFormat="1" applyFont="1" applyFill="1" applyAlignment="1">
      <alignment horizontal="left" vertical="center"/>
    </xf>
    <xf numFmtId="49" fontId="25" fillId="0" borderId="0" xfId="15" applyNumberFormat="1" applyFont="1" applyAlignment="1">
      <alignment horizontal="left" vertical="center" wrapText="1"/>
    </xf>
    <xf numFmtId="0" fontId="53" fillId="6" borderId="0" xfId="15" applyFont="1" applyFill="1" applyAlignment="1">
      <alignment horizontal="right" vertical="center"/>
    </xf>
    <xf numFmtId="0" fontId="11" fillId="6" borderId="0" xfId="15" applyFont="1" applyFill="1" applyAlignment="1">
      <alignment horizontal="center" vertical="center"/>
    </xf>
    <xf numFmtId="49" fontId="20" fillId="6" borderId="0" xfId="15" applyNumberFormat="1" applyFont="1" applyFill="1" applyAlignment="1">
      <alignment horizontal="center" vertical="center" wrapText="1"/>
    </xf>
    <xf numFmtId="41" fontId="34" fillId="0" borderId="18" xfId="3" applyFont="1" applyFill="1" applyBorder="1" applyAlignment="1">
      <alignment horizontal="right" vertical="center"/>
    </xf>
    <xf numFmtId="38" fontId="33" fillId="9" borderId="23" xfId="3" applyNumberFormat="1" applyFont="1" applyFill="1" applyBorder="1" applyAlignment="1">
      <alignment horizontal="center" vertical="center"/>
    </xf>
    <xf numFmtId="177" fontId="29" fillId="6" borderId="0" xfId="15" applyNumberFormat="1" applyFont="1" applyFill="1" applyAlignment="1">
      <alignment horizontal="center" vertical="center"/>
    </xf>
    <xf numFmtId="179" fontId="41" fillId="0" borderId="1" xfId="37" applyNumberFormat="1" applyFont="1" applyBorder="1" applyAlignment="1">
      <alignment horizontal="center" vertical="center" wrapText="1"/>
    </xf>
    <xf numFmtId="0" fontId="39" fillId="4" borderId="1" xfId="37" applyFont="1" applyFill="1" applyBorder="1" applyAlignment="1">
      <alignment horizontal="center" vertical="center" wrapText="1"/>
    </xf>
    <xf numFmtId="179" fontId="40" fillId="0" borderId="1" xfId="37" applyNumberFormat="1" applyFont="1" applyBorder="1" applyAlignment="1">
      <alignment horizontal="center" vertical="center" wrapText="1"/>
    </xf>
    <xf numFmtId="181" fontId="34" fillId="7" borderId="1" xfId="36" applyNumberFormat="1" applyFont="1" applyFill="1" applyBorder="1" applyAlignment="1">
      <alignment horizontal="center" vertical="center"/>
    </xf>
    <xf numFmtId="41" fontId="34" fillId="7" borderId="1" xfId="3" applyFont="1" applyFill="1" applyBorder="1" applyAlignment="1">
      <alignment horizontal="right" vertical="center"/>
    </xf>
    <xf numFmtId="41" fontId="34" fillId="7" borderId="1" xfId="3" applyFont="1" applyFill="1" applyBorder="1" applyAlignment="1">
      <alignment vertical="center"/>
    </xf>
    <xf numFmtId="0" fontId="34" fillId="7" borderId="1" xfId="15" quotePrefix="1" applyFont="1" applyFill="1" applyBorder="1" applyAlignment="1">
      <alignment horizontal="center" vertical="center"/>
    </xf>
    <xf numFmtId="49" fontId="33" fillId="4" borderId="5" xfId="15" applyNumberFormat="1" applyFont="1" applyFill="1" applyBorder="1" applyAlignment="1">
      <alignment horizontal="center" vertical="center"/>
    </xf>
    <xf numFmtId="49" fontId="20" fillId="0" borderId="0" xfId="15" applyNumberFormat="1" applyFont="1" applyAlignment="1">
      <alignment horizontal="left" vertical="center" wrapText="1"/>
    </xf>
    <xf numFmtId="0" fontId="49" fillId="0" borderId="0" xfId="15" applyFont="1" applyAlignment="1">
      <alignment horizontal="left" vertical="center"/>
    </xf>
    <xf numFmtId="0" fontId="48" fillId="5" borderId="5" xfId="34" applyFont="1" applyFill="1" applyBorder="1" applyAlignment="1">
      <alignment horizontal="center" vertical="center"/>
    </xf>
    <xf numFmtId="3" fontId="37" fillId="0" borderId="1" xfId="34" applyNumberFormat="1" applyFont="1" applyBorder="1" applyAlignment="1">
      <alignment horizontal="center" vertical="center"/>
    </xf>
    <xf numFmtId="0" fontId="39" fillId="3" borderId="1" xfId="37" applyFont="1" applyFill="1" applyBorder="1" applyAlignment="1">
      <alignment horizontal="center" vertical="center" wrapText="1"/>
    </xf>
    <xf numFmtId="38" fontId="33" fillId="4" borderId="5" xfId="3" applyNumberFormat="1" applyFont="1" applyFill="1" applyBorder="1" applyAlignment="1">
      <alignment horizontal="center" vertical="center"/>
    </xf>
    <xf numFmtId="41" fontId="33" fillId="8" borderId="20" xfId="15" applyNumberFormat="1" applyFont="1" applyFill="1" applyBorder="1" applyAlignment="1">
      <alignment vertical="center"/>
    </xf>
    <xf numFmtId="9" fontId="33" fillId="8" borderId="20" xfId="3" applyNumberFormat="1" applyFont="1" applyFill="1" applyBorder="1" applyAlignment="1">
      <alignment horizontal="right" vertical="center"/>
    </xf>
    <xf numFmtId="183" fontId="33" fillId="8" borderId="20" xfId="3" applyNumberFormat="1" applyFont="1" applyFill="1" applyBorder="1" applyAlignment="1">
      <alignment horizontal="right" vertical="center"/>
    </xf>
    <xf numFmtId="3" fontId="34" fillId="7" borderId="1" xfId="15" quotePrefix="1" applyNumberFormat="1" applyFont="1" applyFill="1" applyBorder="1" applyAlignment="1">
      <alignment vertical="center"/>
    </xf>
    <xf numFmtId="0" fontId="60" fillId="0" borderId="1" xfId="34" applyFont="1" applyBorder="1" applyAlignment="1">
      <alignment horizontal="center" vertical="center" wrapText="1"/>
    </xf>
    <xf numFmtId="0" fontId="19" fillId="6" borderId="1" xfId="15" applyFont="1" applyFill="1" applyBorder="1" applyAlignment="1">
      <alignment horizontal="center" vertical="center"/>
    </xf>
    <xf numFmtId="0" fontId="33" fillId="6" borderId="7" xfId="15" applyFont="1" applyFill="1" applyBorder="1" applyAlignment="1">
      <alignment horizontal="center" vertical="center" wrapText="1"/>
    </xf>
    <xf numFmtId="0" fontId="39" fillId="4" borderId="38" xfId="37" applyFont="1" applyFill="1" applyBorder="1" applyAlignment="1">
      <alignment horizontal="center" vertical="center" wrapText="1"/>
    </xf>
    <xf numFmtId="180" fontId="40" fillId="0" borderId="39" xfId="37" applyNumberFormat="1" applyFont="1" applyBorder="1" applyAlignment="1">
      <alignment horizontal="center" vertical="center"/>
    </xf>
    <xf numFmtId="181" fontId="33" fillId="8" borderId="20" xfId="15" applyNumberFormat="1" applyFont="1" applyFill="1" applyBorder="1" applyAlignment="1">
      <alignment horizontal="center" vertical="center"/>
    </xf>
    <xf numFmtId="0" fontId="25" fillId="6" borderId="9" xfId="15" applyFont="1" applyFill="1" applyBorder="1" applyAlignment="1">
      <alignment horizontal="centerContinuous" vertical="center"/>
    </xf>
    <xf numFmtId="3" fontId="62" fillId="0" borderId="1" xfId="0" applyNumberFormat="1" applyFont="1" applyBorder="1" applyAlignment="1">
      <alignment horizontal="right" vertical="center" wrapText="1"/>
    </xf>
    <xf numFmtId="0" fontId="33" fillId="6" borderId="7" xfId="15" applyFont="1" applyFill="1" applyBorder="1" applyAlignment="1">
      <alignment vertical="center" wrapText="1"/>
    </xf>
    <xf numFmtId="38" fontId="33" fillId="4" borderId="28" xfId="3" applyNumberFormat="1" applyFont="1" applyFill="1" applyBorder="1" applyAlignment="1">
      <alignment horizontal="center" vertical="center"/>
    </xf>
    <xf numFmtId="41" fontId="33" fillId="7" borderId="24" xfId="3" applyFont="1" applyFill="1" applyBorder="1" applyAlignment="1">
      <alignment vertical="center"/>
    </xf>
    <xf numFmtId="41" fontId="33" fillId="8" borderId="18" xfId="3" applyFont="1" applyFill="1" applyBorder="1" applyAlignment="1">
      <alignment horizontal="right" vertical="center"/>
    </xf>
    <xf numFmtId="3" fontId="62" fillId="11" borderId="1" xfId="0" applyNumberFormat="1" applyFont="1" applyFill="1" applyBorder="1" applyAlignment="1">
      <alignment horizontal="right" vertical="center" wrapText="1"/>
    </xf>
    <xf numFmtId="3" fontId="37" fillId="11" borderId="1" xfId="34" applyNumberFormat="1" applyFont="1" applyFill="1" applyBorder="1" applyAlignment="1">
      <alignment horizontal="center" vertical="center"/>
    </xf>
    <xf numFmtId="0" fontId="25" fillId="11" borderId="24" xfId="15" applyFont="1" applyFill="1" applyBorder="1" applyAlignment="1">
      <alignment horizontal="right" vertical="center"/>
    </xf>
    <xf numFmtId="41" fontId="44" fillId="6" borderId="0" xfId="15" applyNumberFormat="1" applyFont="1" applyFill="1" applyAlignment="1">
      <alignment vertical="center"/>
    </xf>
    <xf numFmtId="0" fontId="42" fillId="10" borderId="20" xfId="37" applyFont="1" applyFill="1" applyBorder="1" applyAlignment="1">
      <alignment horizontal="center" vertical="center"/>
    </xf>
    <xf numFmtId="3" fontId="13" fillId="0" borderId="0" xfId="25" applyNumberFormat="1" applyFont="1">
      <alignment vertical="center"/>
    </xf>
    <xf numFmtId="0" fontId="33" fillId="6" borderId="41" xfId="15" applyFont="1" applyFill="1" applyBorder="1" applyAlignment="1">
      <alignment horizontal="center" vertical="center" wrapText="1"/>
    </xf>
    <xf numFmtId="0" fontId="39" fillId="4" borderId="41" xfId="37" applyFont="1" applyFill="1" applyBorder="1" applyAlignment="1">
      <alignment horizontal="center" vertical="center" wrapText="1"/>
    </xf>
    <xf numFmtId="9" fontId="34" fillId="7" borderId="1" xfId="40" applyNumberFormat="1" applyFont="1" applyFill="1" applyBorder="1" applyAlignment="1">
      <alignment vertical="center"/>
    </xf>
    <xf numFmtId="10" fontId="34" fillId="7" borderId="1" xfId="40" applyNumberFormat="1" applyFont="1" applyFill="1" applyBorder="1" applyAlignment="1">
      <alignment vertical="center"/>
    </xf>
    <xf numFmtId="49" fontId="33" fillId="4" borderId="25" xfId="15" applyNumberFormat="1" applyFont="1" applyFill="1" applyBorder="1" applyAlignment="1">
      <alignment horizontal="center" vertical="center"/>
    </xf>
    <xf numFmtId="49" fontId="33" fillId="4" borderId="10" xfId="15" applyNumberFormat="1" applyFont="1" applyFill="1" applyBorder="1" applyAlignment="1">
      <alignment horizontal="center" vertical="center"/>
    </xf>
    <xf numFmtId="0" fontId="38" fillId="11" borderId="27" xfId="15" applyFont="1" applyFill="1" applyBorder="1" applyAlignment="1">
      <alignment horizontal="left" vertical="center" wrapText="1"/>
    </xf>
    <xf numFmtId="0" fontId="38" fillId="11" borderId="1" xfId="15" applyFont="1" applyFill="1" applyBorder="1" applyAlignment="1">
      <alignment horizontal="left" vertical="center" wrapText="1"/>
    </xf>
    <xf numFmtId="49" fontId="33" fillId="7" borderId="15" xfId="15" quotePrefix="1" applyNumberFormat="1" applyFont="1" applyFill="1" applyBorder="1" applyAlignment="1">
      <alignment horizontal="center" vertical="center"/>
    </xf>
    <xf numFmtId="49" fontId="33" fillId="7" borderId="16" xfId="15" quotePrefix="1" applyNumberFormat="1" applyFont="1" applyFill="1" applyBorder="1" applyAlignment="1">
      <alignment horizontal="center" vertical="center"/>
    </xf>
    <xf numFmtId="0" fontId="18" fillId="0" borderId="30" xfId="38" quotePrefix="1" applyFont="1" applyBorder="1" applyAlignment="1">
      <alignment horizontal="left" vertical="center" wrapText="1"/>
    </xf>
    <xf numFmtId="0" fontId="18" fillId="0" borderId="6" xfId="38" quotePrefix="1" applyFont="1" applyBorder="1" applyAlignment="1">
      <alignment horizontal="left" vertical="center" wrapText="1"/>
    </xf>
    <xf numFmtId="0" fontId="18" fillId="0" borderId="29" xfId="38" quotePrefix="1" applyFont="1" applyBorder="1" applyAlignment="1">
      <alignment horizontal="left" vertical="center" wrapText="1"/>
    </xf>
    <xf numFmtId="49" fontId="50" fillId="0" borderId="12" xfId="38" applyNumberFormat="1" applyFont="1" applyBorder="1" applyAlignment="1">
      <alignment horizontal="center" vertical="center"/>
    </xf>
    <xf numFmtId="49" fontId="50" fillId="0" borderId="14" xfId="38" applyNumberFormat="1" applyFont="1" applyBorder="1" applyAlignment="1">
      <alignment horizontal="center" vertical="center"/>
    </xf>
    <xf numFmtId="49" fontId="50" fillId="0" borderId="7" xfId="38" applyNumberFormat="1" applyFont="1" applyBorder="1" applyAlignment="1">
      <alignment horizontal="center" vertical="center"/>
    </xf>
    <xf numFmtId="0" fontId="18" fillId="0" borderId="34" xfId="38" quotePrefix="1" applyFont="1" applyBorder="1" applyAlignment="1">
      <alignment horizontal="left" vertical="center" wrapText="1"/>
    </xf>
    <xf numFmtId="0" fontId="18" fillId="0" borderId="2" xfId="38" quotePrefix="1" applyFont="1" applyBorder="1" applyAlignment="1">
      <alignment horizontal="left" vertical="center" wrapText="1"/>
    </xf>
    <xf numFmtId="0" fontId="18" fillId="0" borderId="33" xfId="38" quotePrefix="1" applyFont="1" applyBorder="1" applyAlignment="1">
      <alignment horizontal="left" vertical="center" wrapText="1"/>
    </xf>
    <xf numFmtId="0" fontId="18" fillId="0" borderId="32" xfId="38" quotePrefix="1" applyFont="1" applyBorder="1" applyAlignment="1">
      <alignment horizontal="left" vertical="center" wrapText="1"/>
    </xf>
    <xf numFmtId="0" fontId="18" fillId="0" borderId="0" xfId="38" quotePrefix="1" applyFont="1" applyAlignment="1">
      <alignment horizontal="left" vertical="center" wrapText="1"/>
    </xf>
    <xf numFmtId="0" fontId="18" fillId="0" borderId="31" xfId="38" quotePrefix="1" applyFont="1" applyBorder="1" applyAlignment="1">
      <alignment horizontal="left" vertical="center" wrapText="1"/>
    </xf>
    <xf numFmtId="0" fontId="38" fillId="0" borderId="27" xfId="15" applyFont="1" applyBorder="1" applyAlignment="1">
      <alignment horizontal="left" vertical="center" wrapText="1"/>
    </xf>
    <xf numFmtId="0" fontId="38" fillId="0" borderId="1" xfId="15" applyFont="1" applyBorder="1" applyAlignment="1">
      <alignment horizontal="left" vertical="center" wrapText="1"/>
    </xf>
    <xf numFmtId="0" fontId="37" fillId="0" borderId="27" xfId="15" applyFont="1" applyBorder="1" applyAlignment="1">
      <alignment horizontal="left" vertical="center" wrapText="1"/>
    </xf>
    <xf numFmtId="0" fontId="37" fillId="0" borderId="1" xfId="15" applyFont="1" applyBorder="1" applyAlignment="1">
      <alignment horizontal="left" vertical="center" wrapText="1"/>
    </xf>
    <xf numFmtId="3" fontId="37" fillId="0" borderId="1" xfId="34" applyNumberFormat="1" applyFont="1" applyBorder="1" applyAlignment="1">
      <alignment horizontal="center" vertical="center"/>
    </xf>
    <xf numFmtId="49" fontId="55" fillId="0" borderId="0" xfId="15" applyNumberFormat="1" applyFont="1" applyAlignment="1">
      <alignment horizontal="left" vertical="center" wrapText="1"/>
    </xf>
    <xf numFmtId="49" fontId="20" fillId="0" borderId="0" xfId="15" applyNumberFormat="1" applyFont="1" applyAlignment="1">
      <alignment horizontal="left" vertical="center" wrapText="1"/>
    </xf>
    <xf numFmtId="0" fontId="54" fillId="3" borderId="0" xfId="15" applyFont="1" applyFill="1" applyAlignment="1">
      <alignment horizontal="center" vertical="center"/>
    </xf>
    <xf numFmtId="0" fontId="33" fillId="4" borderId="25" xfId="15" applyFont="1" applyFill="1" applyBorder="1" applyAlignment="1">
      <alignment horizontal="center" vertical="center"/>
    </xf>
    <xf numFmtId="0" fontId="33" fillId="4" borderId="26" xfId="15" applyFont="1" applyFill="1" applyBorder="1" applyAlignment="1">
      <alignment horizontal="center" vertical="center"/>
    </xf>
    <xf numFmtId="0" fontId="49" fillId="0" borderId="0" xfId="15" applyFont="1" applyAlignment="1">
      <alignment horizontal="left" vertical="center"/>
    </xf>
    <xf numFmtId="0" fontId="25" fillId="6" borderId="9" xfId="15" applyFont="1" applyFill="1" applyBorder="1" applyAlignment="1">
      <alignment horizontal="left" vertical="center"/>
    </xf>
    <xf numFmtId="0" fontId="25" fillId="6" borderId="8" xfId="15" applyFont="1" applyFill="1" applyBorder="1" applyAlignment="1">
      <alignment horizontal="left" vertical="center"/>
    </xf>
    <xf numFmtId="31" fontId="25" fillId="6" borderId="9" xfId="15" applyNumberFormat="1" applyFont="1" applyFill="1" applyBorder="1" applyAlignment="1">
      <alignment horizontal="left" vertical="center"/>
    </xf>
    <xf numFmtId="31" fontId="25" fillId="6" borderId="8" xfId="15" applyNumberFormat="1" applyFont="1" applyFill="1" applyBorder="1" applyAlignment="1">
      <alignment horizontal="left" vertical="center"/>
    </xf>
    <xf numFmtId="49" fontId="33" fillId="8" borderId="20" xfId="15" applyNumberFormat="1" applyFont="1" applyFill="1" applyBorder="1" applyAlignment="1">
      <alignment horizontal="center" vertical="center"/>
    </xf>
    <xf numFmtId="0" fontId="19" fillId="6" borderId="1" xfId="15" applyFont="1" applyFill="1" applyBorder="1" applyAlignment="1">
      <alignment horizontal="left" vertical="center"/>
    </xf>
    <xf numFmtId="0" fontId="61" fillId="0" borderId="1" xfId="34" applyFont="1" applyBorder="1" applyAlignment="1">
      <alignment horizontal="left" vertical="center"/>
    </xf>
    <xf numFmtId="0" fontId="53" fillId="6" borderId="0" xfId="15" applyFont="1" applyFill="1" applyAlignment="1">
      <alignment horizontal="right" vertical="center"/>
    </xf>
    <xf numFmtId="38" fontId="33" fillId="4" borderId="25" xfId="3" applyNumberFormat="1" applyFont="1" applyFill="1" applyBorder="1" applyAlignment="1">
      <alignment horizontal="center" vertical="center"/>
    </xf>
    <xf numFmtId="38" fontId="33" fillId="4" borderId="10" xfId="3" applyNumberFormat="1" applyFont="1" applyFill="1" applyBorder="1" applyAlignment="1">
      <alignment horizontal="center" vertical="center"/>
    </xf>
    <xf numFmtId="38" fontId="33" fillId="4" borderId="26" xfId="3" applyNumberFormat="1" applyFont="1" applyFill="1" applyBorder="1" applyAlignment="1">
      <alignment horizontal="center" vertical="center"/>
    </xf>
    <xf numFmtId="0" fontId="33" fillId="9" borderId="21" xfId="15" applyFont="1" applyFill="1" applyBorder="1" applyAlignment="1">
      <alignment horizontal="center" vertical="center"/>
    </xf>
    <xf numFmtId="0" fontId="33" fillId="9" borderId="22" xfId="15" applyFont="1" applyFill="1" applyBorder="1" applyAlignment="1">
      <alignment horizontal="center" vertical="center"/>
    </xf>
    <xf numFmtId="0" fontId="33" fillId="9" borderId="36" xfId="15" applyFont="1" applyFill="1" applyBorder="1" applyAlignment="1">
      <alignment horizontal="center" vertical="center"/>
    </xf>
    <xf numFmtId="3" fontId="37" fillId="0" borderId="9" xfId="34" applyNumberFormat="1" applyFont="1" applyBorder="1" applyAlignment="1">
      <alignment horizontal="center" vertical="center"/>
    </xf>
    <xf numFmtId="3" fontId="37" fillId="0" borderId="8" xfId="34" applyNumberFormat="1" applyFont="1" applyBorder="1" applyAlignment="1">
      <alignment horizontal="center" vertical="center"/>
    </xf>
    <xf numFmtId="3" fontId="37" fillId="11" borderId="1" xfId="34" applyNumberFormat="1" applyFont="1" applyFill="1" applyBorder="1" applyAlignment="1">
      <alignment horizontal="center" vertical="center"/>
    </xf>
    <xf numFmtId="3" fontId="37" fillId="11" borderId="9" xfId="34" applyNumberFormat="1" applyFont="1" applyFill="1" applyBorder="1" applyAlignment="1">
      <alignment horizontal="center" vertical="center"/>
    </xf>
    <xf numFmtId="3" fontId="37" fillId="11" borderId="8" xfId="34" applyNumberFormat="1" applyFont="1" applyFill="1" applyBorder="1" applyAlignment="1">
      <alignment horizontal="center" vertical="center"/>
    </xf>
    <xf numFmtId="0" fontId="48" fillId="5" borderId="4" xfId="34" applyFont="1" applyFill="1" applyBorder="1" applyAlignment="1">
      <alignment horizontal="center" vertical="center"/>
    </xf>
    <xf numFmtId="0" fontId="48" fillId="5" borderId="5" xfId="34" applyFont="1" applyFill="1" applyBorder="1" applyAlignment="1">
      <alignment horizontal="center" vertical="center"/>
    </xf>
    <xf numFmtId="184" fontId="34" fillId="7" borderId="15" xfId="36" applyNumberFormat="1" applyFont="1" applyFill="1" applyBorder="1" applyAlignment="1">
      <alignment horizontal="center" vertical="center"/>
    </xf>
    <xf numFmtId="184" fontId="34" fillId="7" borderId="17" xfId="36" applyNumberFormat="1" applyFont="1" applyFill="1" applyBorder="1" applyAlignment="1">
      <alignment horizontal="center" vertical="center"/>
    </xf>
    <xf numFmtId="41" fontId="34" fillId="7" borderId="15" xfId="3" applyFont="1" applyFill="1" applyBorder="1" applyAlignment="1">
      <alignment horizontal="center" vertical="center"/>
    </xf>
    <xf numFmtId="41" fontId="34" fillId="7" borderId="16" xfId="3" applyFont="1" applyFill="1" applyBorder="1" applyAlignment="1">
      <alignment horizontal="center" vertical="center"/>
    </xf>
    <xf numFmtId="41" fontId="34" fillId="7" borderId="17" xfId="3" applyFont="1" applyFill="1" applyBorder="1" applyAlignment="1">
      <alignment horizontal="center" vertical="center"/>
    </xf>
    <xf numFmtId="38" fontId="33" fillId="9" borderId="35" xfId="3" applyNumberFormat="1" applyFont="1" applyFill="1" applyBorder="1" applyAlignment="1">
      <alignment horizontal="right" vertical="center"/>
    </xf>
    <xf numFmtId="38" fontId="33" fillId="9" borderId="36" xfId="3" applyNumberFormat="1" applyFont="1" applyFill="1" applyBorder="1" applyAlignment="1">
      <alignment horizontal="right" vertical="center"/>
    </xf>
    <xf numFmtId="0" fontId="48" fillId="5" borderId="25" xfId="34" applyFont="1" applyFill="1" applyBorder="1" applyAlignment="1">
      <alignment horizontal="center" vertical="center" wrapText="1"/>
    </xf>
    <xf numFmtId="0" fontId="48" fillId="5" borderId="26" xfId="34" applyFont="1" applyFill="1" applyBorder="1" applyAlignment="1">
      <alignment horizontal="center" vertical="center" wrapText="1"/>
    </xf>
    <xf numFmtId="0" fontId="39" fillId="3" borderId="5" xfId="37" applyFont="1" applyFill="1" applyBorder="1" applyAlignment="1">
      <alignment horizontal="center" vertical="center" wrapText="1"/>
    </xf>
    <xf numFmtId="0" fontId="13" fillId="0" borderId="0" xfId="25" applyFont="1" applyAlignment="1">
      <alignment horizontal="center" vertical="center"/>
    </xf>
    <xf numFmtId="0" fontId="42" fillId="10" borderId="19" xfId="37" applyFont="1" applyFill="1" applyBorder="1" applyAlignment="1">
      <alignment horizontal="center" vertical="center"/>
    </xf>
    <xf numFmtId="0" fontId="42" fillId="10" borderId="20" xfId="37" applyFont="1" applyFill="1" applyBorder="1" applyAlignment="1">
      <alignment horizontal="center" vertical="center"/>
    </xf>
    <xf numFmtId="0" fontId="59" fillId="0" borderId="0" xfId="37" applyFont="1" applyAlignment="1">
      <alignment horizontal="left" vertical="center"/>
    </xf>
    <xf numFmtId="0" fontId="39" fillId="3" borderId="4" xfId="37" applyFont="1" applyFill="1" applyBorder="1" applyAlignment="1">
      <alignment horizontal="center" vertical="center" wrapText="1"/>
    </xf>
    <xf numFmtId="0" fontId="39" fillId="3" borderId="27" xfId="37" applyFont="1" applyFill="1" applyBorder="1" applyAlignment="1">
      <alignment horizontal="center" vertical="center" wrapText="1"/>
    </xf>
    <xf numFmtId="0" fontId="39" fillId="3" borderId="1" xfId="37" applyFont="1" applyFill="1" applyBorder="1" applyAlignment="1">
      <alignment horizontal="center" vertical="center" wrapText="1"/>
    </xf>
    <xf numFmtId="0" fontId="39" fillId="3" borderId="13" xfId="37" applyFont="1" applyFill="1" applyBorder="1" applyAlignment="1">
      <alignment horizontal="center" vertical="center" wrapText="1"/>
    </xf>
    <xf numFmtId="0" fontId="39" fillId="3" borderId="24" xfId="37" applyFont="1" applyFill="1" applyBorder="1" applyAlignment="1">
      <alignment horizontal="center" vertical="center" wrapText="1"/>
    </xf>
    <xf numFmtId="0" fontId="39" fillId="3" borderId="40" xfId="37" applyFont="1" applyFill="1" applyBorder="1" applyAlignment="1">
      <alignment horizontal="center" vertical="center" wrapText="1"/>
    </xf>
    <xf numFmtId="0" fontId="39" fillId="3" borderId="3" xfId="37" applyFont="1" applyFill="1" applyBorder="1" applyAlignment="1">
      <alignment horizontal="center" vertical="center" wrapText="1"/>
    </xf>
    <xf numFmtId="0" fontId="39" fillId="3" borderId="42" xfId="37" applyFont="1" applyFill="1" applyBorder="1" applyAlignment="1">
      <alignment horizontal="center" vertical="center" wrapText="1"/>
    </xf>
    <xf numFmtId="0" fontId="39" fillId="3" borderId="43" xfId="37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</cellXfs>
  <cellStyles count="41">
    <cellStyle name="Excel Built-in Normal" xfId="33" xr:uid="{144C6055-2336-4133-A34B-2C697A3B7698}"/>
    <cellStyle name="Excel Built-in Normal 3" xfId="34" xr:uid="{ED79589D-1054-4C8D-84CF-314FFE01E0DD}"/>
    <cellStyle name="백분율 2" xfId="1" xr:uid="{00000000-0005-0000-0000-000000000000}"/>
    <cellStyle name="백분율 3" xfId="17" xr:uid="{00000000-0005-0000-0000-000001000000}"/>
    <cellStyle name="백분율 4" xfId="20" xr:uid="{00000000-0005-0000-0000-000002000000}"/>
    <cellStyle name="백분율 5" xfId="24" xr:uid="{00000000-0005-0000-0000-000003000000}"/>
    <cellStyle name="백분율 6" xfId="27" xr:uid="{00000000-0005-0000-0000-000004000000}"/>
    <cellStyle name="쉼표 [0] 10" xfId="16" xr:uid="{00000000-0005-0000-0000-000006000000}"/>
    <cellStyle name="쉼표 [0] 18" xfId="2" xr:uid="{00000000-0005-0000-0000-000007000000}"/>
    <cellStyle name="쉼표 [0] 2" xfId="3" xr:uid="{00000000-0005-0000-0000-000008000000}"/>
    <cellStyle name="쉼표 [0] 2 2" xfId="4" xr:uid="{00000000-0005-0000-0000-000009000000}"/>
    <cellStyle name="쉼표 [0] 2 3" xfId="40" xr:uid="{A217BF39-EE40-48C3-852C-9718BB71133D}"/>
    <cellStyle name="쉼표 [0] 20" xfId="5" xr:uid="{00000000-0005-0000-0000-00000A000000}"/>
    <cellStyle name="쉼표 [0] 3" xfId="19" xr:uid="{00000000-0005-0000-0000-00000B000000}"/>
    <cellStyle name="쉼표 [0] 3 2" xfId="6" xr:uid="{00000000-0005-0000-0000-00000C000000}"/>
    <cellStyle name="쉼표 [0] 3 2 2" xfId="7" xr:uid="{00000000-0005-0000-0000-00000D000000}"/>
    <cellStyle name="쉼표 [0] 4" xfId="23" xr:uid="{00000000-0005-0000-0000-00000E000000}"/>
    <cellStyle name="쉼표 [0] 5" xfId="8" xr:uid="{00000000-0005-0000-0000-00000F000000}"/>
    <cellStyle name="쉼표 [0] 6" xfId="26" xr:uid="{00000000-0005-0000-0000-000010000000}"/>
    <cellStyle name="쉼표 [0] 7" xfId="30" xr:uid="{00000000-0005-0000-0000-000011000000}"/>
    <cellStyle name="쉼표 [0] 8" xfId="32" xr:uid="{00000000-0005-0000-0000-000012000000}"/>
    <cellStyle name="표준" xfId="0" builtinId="0"/>
    <cellStyle name="표준 10" xfId="31" xr:uid="{00000000-0005-0000-0000-000014000000}"/>
    <cellStyle name="표준 108" xfId="9" xr:uid="{00000000-0005-0000-0000-000015000000}"/>
    <cellStyle name="표준 109" xfId="10" xr:uid="{00000000-0005-0000-0000-000016000000}"/>
    <cellStyle name="표준 115" xfId="11" xr:uid="{00000000-0005-0000-0000-000017000000}"/>
    <cellStyle name="표준 2" xfId="12" xr:uid="{00000000-0005-0000-0000-000018000000}"/>
    <cellStyle name="표준 2 2" xfId="39" xr:uid="{15C908FA-5999-4954-BF18-FF1F198A1EC3}"/>
    <cellStyle name="표준 3" xfId="13" xr:uid="{00000000-0005-0000-0000-000019000000}"/>
    <cellStyle name="표준 3 69" xfId="14" xr:uid="{00000000-0005-0000-0000-00001A000000}"/>
    <cellStyle name="표준 4" xfId="18" xr:uid="{00000000-0005-0000-0000-00001B000000}"/>
    <cellStyle name="표준 44 2 2" xfId="37" xr:uid="{DCA0D944-33F0-4BF2-B74F-3930700A2A9F}"/>
    <cellStyle name="표준 5" xfId="15" xr:uid="{00000000-0005-0000-0000-00001C000000}"/>
    <cellStyle name="표준 6" xfId="21" xr:uid="{00000000-0005-0000-0000-00001D000000}"/>
    <cellStyle name="표준 7" xfId="22" xr:uid="{00000000-0005-0000-0000-00001E000000}"/>
    <cellStyle name="표준 8" xfId="25" xr:uid="{00000000-0005-0000-0000-00001F000000}"/>
    <cellStyle name="표준 8 2" xfId="28" xr:uid="{00000000-0005-0000-0000-000020000000}"/>
    <cellStyle name="표준 9" xfId="29" xr:uid="{00000000-0005-0000-0000-000021000000}"/>
    <cellStyle name="표준_1106-001 인지컨트롤스 x3850" xfId="36" xr:uid="{C1938C93-64AA-4427-871D-801A04AB5F49}"/>
    <cellStyle name="표준_650(630)견적서(1020)" xfId="38" xr:uid="{4AB6AE74-DA37-4E1D-9843-E9A638CF3B5C}"/>
    <cellStyle name="하이퍼링크 2" xfId="35" xr:uid="{357BFCCB-59AF-40C6-BF28-0E39BC6F84AC}"/>
  </cellStyles>
  <dxfs count="0"/>
  <tableStyles count="0" defaultTableStyle="TableStyleMedium2" defaultPivotStyle="PivotStyleLight16"/>
  <colors>
    <mruColors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368862</xdr:colOff>
      <xdr:row>52</xdr:row>
      <xdr:rowOff>98213</xdr:rowOff>
    </xdr:from>
    <xdr:ext cx="598092" cy="602876"/>
    <xdr:pic>
      <xdr:nvPicPr>
        <xdr:cNvPr id="2" name="그림 1">
          <a:extLst>
            <a:ext uri="{FF2B5EF4-FFF2-40B4-BE49-F238E27FC236}">
              <a16:creationId xmlns:a16="http://schemas.microsoft.com/office/drawing/2014/main" id="{46A7B727-1E7D-4D59-83C8-87439B785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5695" y="10766213"/>
          <a:ext cx="598092" cy="60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39C2-92B5-4964-A1B0-9342E20295D1}">
  <sheetPr>
    <pageSetUpPr fitToPage="1"/>
  </sheetPr>
  <dimension ref="B1:Q59"/>
  <sheetViews>
    <sheetView showGridLines="0" tabSelected="1" view="pageBreakPreview" topLeftCell="A17" zoomScaleNormal="100" zoomScaleSheetLayoutView="100" workbookViewId="0">
      <selection activeCell="F18" sqref="F18"/>
    </sheetView>
  </sheetViews>
  <sheetFormatPr defaultColWidth="8.87890625" defaultRowHeight="13.5"/>
  <cols>
    <col min="1" max="1" width="2.1171875" style="31" customWidth="1"/>
    <col min="2" max="2" width="9" style="35" customWidth="1"/>
    <col min="3" max="3" width="18" style="34" customWidth="1"/>
    <col min="4" max="4" width="18.05859375" style="34" customWidth="1"/>
    <col min="5" max="5" width="18.52734375" style="34" customWidth="1"/>
    <col min="6" max="6" width="8.703125" style="31" customWidth="1"/>
    <col min="7" max="7" width="10.41015625" style="33" customWidth="1"/>
    <col min="8" max="8" width="9.46875" style="33" customWidth="1"/>
    <col min="9" max="9" width="11.17578125" style="33" customWidth="1"/>
    <col min="10" max="10" width="10.87890625" style="33" customWidth="1"/>
    <col min="11" max="11" width="12.17578125" style="32" customWidth="1"/>
    <col min="12" max="12" width="2.17578125" style="31" customWidth="1"/>
    <col min="13" max="13" width="9" style="31" customWidth="1"/>
    <col min="14" max="14" width="8.87890625" style="31"/>
    <col min="15" max="15" width="11.3515625" style="31" bestFit="1" customWidth="1"/>
    <col min="16" max="16" width="12.29296875" style="31" bestFit="1" customWidth="1"/>
    <col min="17" max="16384" width="8.87890625" style="31"/>
  </cols>
  <sheetData>
    <row r="1" spans="2:13" s="3" customFormat="1" ht="30" customHeight="1" thickBot="1">
      <c r="B1" s="131" t="s">
        <v>60</v>
      </c>
      <c r="C1" s="132"/>
      <c r="D1" s="132"/>
      <c r="E1" s="132"/>
      <c r="F1" s="132"/>
      <c r="G1" s="132"/>
      <c r="H1" s="132"/>
      <c r="I1" s="76"/>
      <c r="J1" s="76"/>
      <c r="L1" s="54"/>
      <c r="M1" s="63"/>
    </row>
    <row r="2" spans="2:13" s="3" customFormat="1" ht="18" customHeight="1">
      <c r="B2" s="4" t="s">
        <v>61</v>
      </c>
      <c r="C2" s="5"/>
      <c r="D2" s="5"/>
      <c r="E2" s="5"/>
      <c r="F2" s="5"/>
      <c r="G2" s="5"/>
      <c r="H2" s="5"/>
      <c r="I2" s="5"/>
      <c r="J2" s="5"/>
      <c r="K2" s="5"/>
      <c r="L2" s="64"/>
      <c r="M2" s="64"/>
    </row>
    <row r="3" spans="2:13" s="3" customFormat="1" ht="6.75" customHeight="1">
      <c r="B3" s="6"/>
      <c r="C3" s="7"/>
      <c r="D3" s="7"/>
      <c r="E3" s="7"/>
      <c r="F3" s="7"/>
      <c r="G3" s="7"/>
      <c r="H3" s="7"/>
      <c r="I3" s="7"/>
      <c r="J3" s="7"/>
      <c r="L3" s="64"/>
      <c r="M3" s="64"/>
    </row>
    <row r="4" spans="2:13" s="3" customFormat="1" ht="35" customHeight="1">
      <c r="B4" s="133" t="s">
        <v>18</v>
      </c>
      <c r="C4" s="133"/>
      <c r="D4" s="133"/>
      <c r="E4" s="133"/>
      <c r="F4" s="133"/>
      <c r="G4" s="133"/>
      <c r="H4" s="133"/>
      <c r="I4" s="133"/>
      <c r="J4" s="133"/>
      <c r="K4" s="133"/>
      <c r="L4" s="54"/>
      <c r="M4" s="63"/>
    </row>
    <row r="5" spans="2:13" s="10" customFormat="1" ht="8.25" customHeight="1">
      <c r="B5" s="8"/>
      <c r="C5" s="9"/>
      <c r="D5" s="9"/>
      <c r="E5" s="9"/>
      <c r="F5" s="9"/>
      <c r="G5" s="9"/>
      <c r="H5" s="9"/>
      <c r="I5" s="9"/>
      <c r="J5" s="9"/>
      <c r="L5" s="58"/>
      <c r="M5" s="58"/>
    </row>
    <row r="6" spans="2:13" s="10" customFormat="1" ht="15" customHeight="1">
      <c r="B6" s="144" t="s">
        <v>69</v>
      </c>
      <c r="C6" s="144"/>
      <c r="D6" s="144"/>
      <c r="E6" s="62"/>
      <c r="F6" s="61"/>
      <c r="G6" s="61"/>
      <c r="H6" s="57" t="s">
        <v>54</v>
      </c>
      <c r="I6" s="92"/>
      <c r="J6" s="137" t="s">
        <v>105</v>
      </c>
      <c r="K6" s="138"/>
      <c r="L6" s="56"/>
      <c r="M6" s="58"/>
    </row>
    <row r="7" spans="2:13" s="10" customFormat="1" ht="15" customHeight="1">
      <c r="B7" s="87" t="s">
        <v>53</v>
      </c>
      <c r="C7" s="142" t="s">
        <v>85</v>
      </c>
      <c r="D7" s="142"/>
      <c r="E7" s="56"/>
      <c r="F7" s="61"/>
      <c r="G7" s="61"/>
      <c r="H7" s="57" t="s">
        <v>52</v>
      </c>
      <c r="I7" s="92"/>
      <c r="J7" s="139">
        <v>46076</v>
      </c>
      <c r="K7" s="140"/>
      <c r="L7" s="60"/>
      <c r="M7" s="58"/>
    </row>
    <row r="8" spans="2:13" s="10" customFormat="1" ht="15" customHeight="1">
      <c r="B8" s="87" t="s">
        <v>96</v>
      </c>
      <c r="C8" s="143" t="s">
        <v>104</v>
      </c>
      <c r="D8" s="143"/>
      <c r="E8" s="59"/>
      <c r="F8" s="9"/>
      <c r="G8" s="59"/>
      <c r="H8" s="57" t="s">
        <v>51</v>
      </c>
      <c r="I8" s="92"/>
      <c r="J8" s="137" t="s">
        <v>50</v>
      </c>
      <c r="K8" s="138"/>
      <c r="L8" s="56"/>
      <c r="M8" s="58"/>
    </row>
    <row r="9" spans="2:13" s="10" customFormat="1" ht="15" customHeight="1">
      <c r="B9" s="86" t="s">
        <v>68</v>
      </c>
      <c r="C9" s="143" t="s">
        <v>103</v>
      </c>
      <c r="D9" s="143"/>
      <c r="E9" s="59"/>
      <c r="F9" s="9"/>
      <c r="G9" s="59"/>
      <c r="H9" s="57" t="s">
        <v>49</v>
      </c>
      <c r="I9" s="92"/>
      <c r="J9" s="137" t="s">
        <v>67</v>
      </c>
      <c r="K9" s="138"/>
      <c r="L9" s="56"/>
      <c r="M9" s="58"/>
    </row>
    <row r="10" spans="2:13" s="10" customFormat="1" ht="15" customHeight="1">
      <c r="B10" s="59"/>
      <c r="C10" s="59"/>
      <c r="D10" s="59"/>
      <c r="E10" s="59"/>
      <c r="F10" s="9"/>
      <c r="G10" s="59"/>
      <c r="H10" s="57" t="s">
        <v>48</v>
      </c>
      <c r="I10" s="92"/>
      <c r="J10" s="137" t="s">
        <v>47</v>
      </c>
      <c r="K10" s="138"/>
      <c r="L10" s="56"/>
      <c r="M10" s="58"/>
    </row>
    <row r="11" spans="2:13" s="14" customFormat="1" ht="15" customHeight="1">
      <c r="B11" s="11" t="s">
        <v>19</v>
      </c>
      <c r="C11" s="12"/>
      <c r="D11" s="12"/>
      <c r="E11" s="12"/>
      <c r="F11" s="13"/>
      <c r="G11" s="12"/>
      <c r="H11" s="57" t="s">
        <v>46</v>
      </c>
      <c r="I11" s="92"/>
      <c r="J11" s="137" t="s">
        <v>62</v>
      </c>
      <c r="K11" s="138"/>
      <c r="L11" s="56"/>
      <c r="M11" s="55"/>
    </row>
    <row r="12" spans="2:13" s="14" customFormat="1" ht="12.75" customHeight="1">
      <c r="B12" s="54"/>
      <c r="C12" s="54"/>
      <c r="D12" s="54"/>
      <c r="E12" s="54"/>
      <c r="F12" s="53"/>
      <c r="G12" s="52"/>
      <c r="H12" s="52"/>
      <c r="I12" s="52"/>
      <c r="J12" s="52"/>
      <c r="L12" s="51"/>
      <c r="M12" s="50"/>
    </row>
    <row r="13" spans="2:13" s="14" customFormat="1" ht="21" customHeight="1">
      <c r="B13" s="15" t="s">
        <v>20</v>
      </c>
      <c r="C13" s="16"/>
      <c r="D13" s="17">
        <f>I25</f>
        <v>12000000</v>
      </c>
      <c r="E13" s="67"/>
      <c r="G13" s="18"/>
      <c r="H13" s="19"/>
      <c r="I13" s="19"/>
      <c r="J13" s="19"/>
      <c r="L13" s="19"/>
      <c r="M13" s="49"/>
    </row>
    <row r="15" spans="2:13" s="22" customFormat="1" ht="15" customHeight="1" thickBot="1">
      <c r="B15" s="20"/>
      <c r="C15" s="21"/>
      <c r="D15" s="21"/>
      <c r="E15" s="21"/>
      <c r="G15" s="23"/>
      <c r="H15" s="24"/>
      <c r="I15" s="24"/>
      <c r="J15" s="24"/>
      <c r="K15" s="25" t="s">
        <v>21</v>
      </c>
    </row>
    <row r="16" spans="2:13" s="44" customFormat="1" ht="19.25" customHeight="1">
      <c r="B16" s="26" t="s">
        <v>45</v>
      </c>
      <c r="C16" s="48" t="s">
        <v>92</v>
      </c>
      <c r="D16" s="75" t="s">
        <v>86</v>
      </c>
      <c r="E16" s="75" t="s">
        <v>63</v>
      </c>
      <c r="F16" s="47" t="s">
        <v>44</v>
      </c>
      <c r="G16" s="46" t="s">
        <v>36</v>
      </c>
      <c r="H16" s="81" t="s">
        <v>64</v>
      </c>
      <c r="I16" s="81" t="s">
        <v>84</v>
      </c>
      <c r="J16" s="81" t="s">
        <v>65</v>
      </c>
      <c r="K16" s="95" t="s">
        <v>43</v>
      </c>
    </row>
    <row r="17" spans="2:17" ht="19.5" customHeight="1">
      <c r="B17" s="104" t="str">
        <f>'1. 투입공수'!B6</f>
        <v>Acen 개발</v>
      </c>
      <c r="C17" s="85" t="str">
        <f>$B$37</f>
        <v>9. 응용SW개발자</v>
      </c>
      <c r="D17" s="74" t="str">
        <f>'1. 투입공수'!D6</f>
        <v>고급(하)</v>
      </c>
      <c r="E17" s="74" t="str">
        <f>'1. 투입공수'!K6</f>
        <v>Acen 스패로우 조치</v>
      </c>
      <c r="F17" s="71">
        <f>'1. 투입공수'!J6</f>
        <v>1.5</v>
      </c>
      <c r="G17" s="72">
        <f>$I$37</f>
        <v>9026494.0999999996</v>
      </c>
      <c r="H17" s="106">
        <v>0.9</v>
      </c>
      <c r="I17" s="107">
        <v>1.52E-2</v>
      </c>
      <c r="J17" s="73">
        <f>ROUNDDOWN(G17*H17-(G17*H17*I17),-3)</f>
        <v>8000000</v>
      </c>
      <c r="K17" s="96">
        <f t="shared" ref="K17" si="0">J17*F17</f>
        <v>12000000</v>
      </c>
      <c r="L17" s="44"/>
      <c r="O17" s="101"/>
      <c r="Q17" s="44"/>
    </row>
    <row r="18" spans="2:17" ht="19.5" customHeight="1" thickBot="1">
      <c r="B18" s="94"/>
      <c r="C18" s="141" t="s">
        <v>37</v>
      </c>
      <c r="D18" s="141"/>
      <c r="E18" s="141"/>
      <c r="F18" s="91">
        <f>SUM(F17:F17)</f>
        <v>1.5</v>
      </c>
      <c r="G18" s="82">
        <f>AVERAGE(G17:G17)</f>
        <v>9026494.0999999996</v>
      </c>
      <c r="H18" s="83">
        <f>AVERAGE(H17:H17)</f>
        <v>0.9</v>
      </c>
      <c r="I18" s="83">
        <f>AVERAGE(I17:I17)</f>
        <v>1.52E-2</v>
      </c>
      <c r="J18" s="84">
        <f>AVERAGE(J17:J17)</f>
        <v>8000000</v>
      </c>
      <c r="K18" s="97">
        <f>SUM(K17:K17)</f>
        <v>12000000</v>
      </c>
      <c r="L18" s="44"/>
    </row>
    <row r="19" spans="2:17" s="39" customFormat="1" ht="7.5" customHeight="1">
      <c r="B19" s="27"/>
      <c r="C19" s="27"/>
      <c r="D19" s="27"/>
      <c r="E19" s="27"/>
      <c r="F19" s="27"/>
      <c r="G19" s="27"/>
      <c r="H19" s="27"/>
      <c r="I19" s="27"/>
      <c r="J19" s="27"/>
      <c r="K19" s="27"/>
      <c r="M19" s="31"/>
    </row>
    <row r="20" spans="2:17" s="39" customFormat="1" ht="7.5" customHeight="1" thickBot="1">
      <c r="B20" s="27"/>
      <c r="C20" s="27"/>
      <c r="D20" s="27"/>
      <c r="E20" s="27"/>
      <c r="F20" s="27"/>
      <c r="G20" s="27"/>
      <c r="H20" s="27"/>
      <c r="I20" s="27"/>
      <c r="J20" s="27"/>
      <c r="K20" s="27"/>
      <c r="M20" s="31"/>
    </row>
    <row r="21" spans="2:17" s="39" customFormat="1" ht="14.45" customHeight="1">
      <c r="B21" s="26" t="s">
        <v>17</v>
      </c>
      <c r="C21" s="108" t="s">
        <v>22</v>
      </c>
      <c r="D21" s="109"/>
      <c r="E21" s="109"/>
      <c r="F21" s="134" t="s">
        <v>56</v>
      </c>
      <c r="G21" s="135"/>
      <c r="H21" s="145" t="s">
        <v>55</v>
      </c>
      <c r="I21" s="146"/>
      <c r="J21" s="147"/>
      <c r="K21" s="45" t="s">
        <v>42</v>
      </c>
      <c r="M21" s="31"/>
    </row>
    <row r="22" spans="2:17" s="39" customFormat="1" ht="15" customHeight="1" thickBot="1">
      <c r="B22" s="88" t="s">
        <v>57</v>
      </c>
      <c r="C22" s="112"/>
      <c r="D22" s="113"/>
      <c r="E22" s="113"/>
      <c r="F22" s="158"/>
      <c r="G22" s="159"/>
      <c r="H22" s="160">
        <f>K18*F22</f>
        <v>0</v>
      </c>
      <c r="I22" s="161"/>
      <c r="J22" s="162"/>
      <c r="K22" s="65"/>
      <c r="M22" s="31"/>
    </row>
    <row r="23" spans="2:17" s="39" customFormat="1" ht="7.25" customHeight="1">
      <c r="B23" s="27"/>
      <c r="C23" s="27"/>
      <c r="D23" s="27"/>
      <c r="E23" s="27"/>
      <c r="F23" s="27"/>
      <c r="G23" s="27"/>
      <c r="H23" s="27"/>
      <c r="I23" s="27"/>
      <c r="J23" s="27"/>
      <c r="K23" s="27"/>
      <c r="M23" s="31"/>
    </row>
    <row r="24" spans="2:17" s="39" customFormat="1" ht="7.5" customHeight="1" thickBot="1">
      <c r="B24" s="27"/>
      <c r="C24" s="27"/>
      <c r="D24" s="27"/>
      <c r="E24" s="27"/>
      <c r="F24" s="27"/>
      <c r="G24" s="27"/>
      <c r="H24" s="27"/>
      <c r="I24" s="27"/>
      <c r="J24" s="27"/>
      <c r="K24" s="27"/>
      <c r="M24" s="31"/>
    </row>
    <row r="25" spans="2:17" ht="20.100000000000001" customHeight="1" thickBot="1">
      <c r="B25" s="148" t="s">
        <v>23</v>
      </c>
      <c r="C25" s="149"/>
      <c r="D25" s="149"/>
      <c r="E25" s="149"/>
      <c r="F25" s="149"/>
      <c r="G25" s="149"/>
      <c r="H25" s="150"/>
      <c r="I25" s="163">
        <f>ROUNDDOWN(K18-H22,-5)</f>
        <v>12000000</v>
      </c>
      <c r="J25" s="164"/>
      <c r="K25" s="66" t="s">
        <v>58</v>
      </c>
      <c r="L25" s="44"/>
    </row>
    <row r="26" spans="2:17" s="39" customFormat="1" ht="8.25" customHeight="1">
      <c r="B26" s="28"/>
      <c r="C26" s="28"/>
      <c r="D26" s="28"/>
      <c r="E26" s="28"/>
      <c r="F26" s="28"/>
      <c r="G26" s="28"/>
      <c r="H26" s="28"/>
      <c r="I26" s="28"/>
      <c r="J26" s="28"/>
      <c r="K26" s="28"/>
      <c r="M26" s="31"/>
    </row>
    <row r="27" spans="2:17" s="39" customFormat="1" ht="19.5" thickBot="1">
      <c r="B27" s="41"/>
      <c r="C27" s="41"/>
      <c r="D27" s="41"/>
      <c r="E27" s="41"/>
      <c r="F27" s="136"/>
      <c r="G27" s="136"/>
      <c r="H27" s="136"/>
      <c r="I27" s="77"/>
      <c r="J27" s="77"/>
      <c r="K27" s="41"/>
      <c r="L27" s="41"/>
      <c r="M27" s="41"/>
    </row>
    <row r="28" spans="2:17" s="39" customFormat="1" ht="16.899999999999999">
      <c r="B28" s="156" t="s">
        <v>87</v>
      </c>
      <c r="C28" s="157"/>
      <c r="D28" s="78" t="s">
        <v>24</v>
      </c>
      <c r="E28" s="78" t="s">
        <v>25</v>
      </c>
      <c r="F28" s="78" t="s">
        <v>26</v>
      </c>
      <c r="G28" s="157" t="s">
        <v>27</v>
      </c>
      <c r="H28" s="157"/>
      <c r="I28" s="165" t="s">
        <v>35</v>
      </c>
      <c r="J28" s="166"/>
      <c r="K28" s="43" t="s">
        <v>39</v>
      </c>
      <c r="L28" s="41"/>
      <c r="M28" s="41"/>
    </row>
    <row r="29" spans="2:17" s="39" customFormat="1" ht="12.6" customHeight="1">
      <c r="B29" s="126" t="s">
        <v>28</v>
      </c>
      <c r="C29" s="127"/>
      <c r="D29" s="93">
        <v>562993</v>
      </c>
      <c r="E29" s="93">
        <v>11597656</v>
      </c>
      <c r="F29" s="79">
        <f>E29*0.3</f>
        <v>3479296.8</v>
      </c>
      <c r="G29" s="130">
        <v>0</v>
      </c>
      <c r="H29" s="130"/>
      <c r="I29" s="151">
        <f t="shared" ref="I29:I45" si="1">SUM(E29:G29)</f>
        <v>15076952.800000001</v>
      </c>
      <c r="J29" s="152"/>
      <c r="K29" s="42"/>
      <c r="L29" s="41"/>
      <c r="M29" s="41"/>
    </row>
    <row r="30" spans="2:17" s="39" customFormat="1" ht="12.6" customHeight="1">
      <c r="B30" s="126" t="s">
        <v>29</v>
      </c>
      <c r="C30" s="127"/>
      <c r="D30" s="93">
        <v>471166</v>
      </c>
      <c r="E30" s="93">
        <v>9706020</v>
      </c>
      <c r="F30" s="79">
        <f t="shared" ref="F30:F45" si="2">E30*0.3</f>
        <v>2911806</v>
      </c>
      <c r="G30" s="130">
        <v>0</v>
      </c>
      <c r="H30" s="130"/>
      <c r="I30" s="151">
        <f t="shared" si="1"/>
        <v>12617826</v>
      </c>
      <c r="J30" s="152"/>
      <c r="K30" s="42"/>
      <c r="L30" s="41"/>
      <c r="M30" s="41"/>
    </row>
    <row r="31" spans="2:17" s="39" customFormat="1" ht="12.6" customHeight="1">
      <c r="B31" s="126" t="s">
        <v>70</v>
      </c>
      <c r="C31" s="127"/>
      <c r="D31" s="93">
        <v>436765</v>
      </c>
      <c r="E31" s="93">
        <v>8997359</v>
      </c>
      <c r="F31" s="79">
        <f t="shared" si="2"/>
        <v>2699207.6999999997</v>
      </c>
      <c r="G31" s="130">
        <v>0</v>
      </c>
      <c r="H31" s="130"/>
      <c r="I31" s="151">
        <f t="shared" si="1"/>
        <v>11696566.699999999</v>
      </c>
      <c r="J31" s="152"/>
      <c r="K31" s="42"/>
      <c r="L31" s="41"/>
      <c r="M31" s="41"/>
    </row>
    <row r="32" spans="2:17" s="39" customFormat="1" ht="12.6" customHeight="1">
      <c r="B32" s="126" t="s">
        <v>71</v>
      </c>
      <c r="C32" s="127"/>
      <c r="D32" s="93">
        <v>376271</v>
      </c>
      <c r="E32" s="93">
        <v>7751183</v>
      </c>
      <c r="F32" s="79">
        <f t="shared" si="2"/>
        <v>2325354.9</v>
      </c>
      <c r="G32" s="130">
        <v>0</v>
      </c>
      <c r="H32" s="130"/>
      <c r="I32" s="151">
        <f t="shared" si="1"/>
        <v>10076537.9</v>
      </c>
      <c r="J32" s="152"/>
      <c r="K32" s="40"/>
    </row>
    <row r="33" spans="2:11" s="39" customFormat="1" ht="12.6" customHeight="1">
      <c r="B33" s="126" t="s">
        <v>88</v>
      </c>
      <c r="C33" s="127"/>
      <c r="D33" s="93">
        <v>443955</v>
      </c>
      <c r="E33" s="93">
        <v>9145473</v>
      </c>
      <c r="F33" s="79">
        <f t="shared" si="2"/>
        <v>2743641.9</v>
      </c>
      <c r="G33" s="130">
        <v>0</v>
      </c>
      <c r="H33" s="130"/>
      <c r="I33" s="151">
        <f t="shared" si="1"/>
        <v>11889114.9</v>
      </c>
      <c r="J33" s="152"/>
      <c r="K33" s="40"/>
    </row>
    <row r="34" spans="2:11" s="39" customFormat="1" ht="12.6" customHeight="1">
      <c r="B34" s="126" t="s">
        <v>72</v>
      </c>
      <c r="C34" s="127"/>
      <c r="D34" s="93">
        <v>492609</v>
      </c>
      <c r="E34" s="93">
        <v>10147745</v>
      </c>
      <c r="F34" s="79">
        <f t="shared" si="2"/>
        <v>3044323.5</v>
      </c>
      <c r="G34" s="130">
        <v>0</v>
      </c>
      <c r="H34" s="130"/>
      <c r="I34" s="151">
        <f t="shared" si="1"/>
        <v>13192068.5</v>
      </c>
      <c r="J34" s="152"/>
      <c r="K34" s="40"/>
    </row>
    <row r="35" spans="2:11" ht="12.6" customHeight="1">
      <c r="B35" s="126" t="s">
        <v>73</v>
      </c>
      <c r="C35" s="127"/>
      <c r="D35" s="93">
        <v>326566</v>
      </c>
      <c r="E35" s="93">
        <v>6727260</v>
      </c>
      <c r="F35" s="79">
        <f t="shared" si="2"/>
        <v>2018178</v>
      </c>
      <c r="G35" s="130">
        <v>0</v>
      </c>
      <c r="H35" s="130"/>
      <c r="I35" s="151">
        <f t="shared" si="1"/>
        <v>8745438</v>
      </c>
      <c r="J35" s="152"/>
      <c r="K35" s="37"/>
    </row>
    <row r="36" spans="2:11" ht="12.6" customHeight="1">
      <c r="B36" s="126" t="s">
        <v>74</v>
      </c>
      <c r="C36" s="127"/>
      <c r="D36" s="93">
        <v>251272</v>
      </c>
      <c r="E36" s="93">
        <v>5176203</v>
      </c>
      <c r="F36" s="79">
        <f t="shared" si="2"/>
        <v>1552860.9</v>
      </c>
      <c r="G36" s="130">
        <v>0</v>
      </c>
      <c r="H36" s="130"/>
      <c r="I36" s="151">
        <f t="shared" si="1"/>
        <v>6729063.9000000004</v>
      </c>
      <c r="J36" s="152"/>
      <c r="K36" s="38"/>
    </row>
    <row r="37" spans="2:11" ht="12.6" customHeight="1">
      <c r="B37" s="110" t="s">
        <v>75</v>
      </c>
      <c r="C37" s="111"/>
      <c r="D37" s="98">
        <v>337061</v>
      </c>
      <c r="E37" s="98">
        <v>6943457</v>
      </c>
      <c r="F37" s="99">
        <f t="shared" si="2"/>
        <v>2083037.0999999999</v>
      </c>
      <c r="G37" s="153">
        <v>0</v>
      </c>
      <c r="H37" s="153"/>
      <c r="I37" s="154">
        <f t="shared" si="1"/>
        <v>9026494.0999999996</v>
      </c>
      <c r="J37" s="155"/>
      <c r="K37" s="100"/>
    </row>
    <row r="38" spans="2:11" ht="12.6" customHeight="1">
      <c r="B38" s="126" t="s">
        <v>76</v>
      </c>
      <c r="C38" s="127"/>
      <c r="D38" s="93">
        <v>296070</v>
      </c>
      <c r="E38" s="93">
        <v>6099042</v>
      </c>
      <c r="F38" s="79">
        <f t="shared" si="2"/>
        <v>1829712.5999999999</v>
      </c>
      <c r="G38" s="130">
        <v>0</v>
      </c>
      <c r="H38" s="130"/>
      <c r="I38" s="151">
        <f t="shared" si="1"/>
        <v>7928754.5999999996</v>
      </c>
      <c r="J38" s="152"/>
      <c r="K38" s="37"/>
    </row>
    <row r="39" spans="2:11" ht="12.6" customHeight="1">
      <c r="B39" s="126" t="s">
        <v>77</v>
      </c>
      <c r="C39" s="127"/>
      <c r="D39" s="93">
        <v>492943</v>
      </c>
      <c r="E39" s="93">
        <v>10154626</v>
      </c>
      <c r="F39" s="79">
        <f t="shared" si="2"/>
        <v>3046387.8</v>
      </c>
      <c r="G39" s="130">
        <v>0</v>
      </c>
      <c r="H39" s="130"/>
      <c r="I39" s="151">
        <f t="shared" si="1"/>
        <v>13201013.800000001</v>
      </c>
      <c r="J39" s="152"/>
      <c r="K39" s="37"/>
    </row>
    <row r="40" spans="2:11" ht="12.6" customHeight="1">
      <c r="B40" s="126" t="s">
        <v>78</v>
      </c>
      <c r="C40" s="127"/>
      <c r="D40" s="93">
        <v>245535</v>
      </c>
      <c r="E40" s="93">
        <v>5058021</v>
      </c>
      <c r="F40" s="79">
        <f t="shared" si="2"/>
        <v>1517406.3</v>
      </c>
      <c r="G40" s="130">
        <v>0</v>
      </c>
      <c r="H40" s="130"/>
      <c r="I40" s="151">
        <f t="shared" si="1"/>
        <v>6575427.2999999998</v>
      </c>
      <c r="J40" s="152"/>
      <c r="K40" s="37"/>
    </row>
    <row r="41" spans="2:11" ht="12.6" customHeight="1">
      <c r="B41" s="128" t="s">
        <v>79</v>
      </c>
      <c r="C41" s="129"/>
      <c r="D41" s="93">
        <v>536729</v>
      </c>
      <c r="E41" s="93">
        <v>11056617</v>
      </c>
      <c r="F41" s="79">
        <f t="shared" si="2"/>
        <v>3316985.1</v>
      </c>
      <c r="G41" s="130">
        <v>0</v>
      </c>
      <c r="H41" s="130"/>
      <c r="I41" s="151">
        <f t="shared" si="1"/>
        <v>14373602.1</v>
      </c>
      <c r="J41" s="152"/>
      <c r="K41" s="37"/>
    </row>
    <row r="42" spans="2:11" ht="12.6" customHeight="1">
      <c r="B42" s="126" t="s">
        <v>80</v>
      </c>
      <c r="C42" s="127"/>
      <c r="D42" s="93">
        <v>470490</v>
      </c>
      <c r="E42" s="93">
        <v>9692094</v>
      </c>
      <c r="F42" s="79">
        <f t="shared" si="2"/>
        <v>2907628.1999999997</v>
      </c>
      <c r="G42" s="130">
        <v>0</v>
      </c>
      <c r="H42" s="130"/>
      <c r="I42" s="151">
        <f t="shared" si="1"/>
        <v>12599722.199999999</v>
      </c>
      <c r="J42" s="152"/>
      <c r="K42" s="37"/>
    </row>
    <row r="43" spans="2:11" ht="12.6" customHeight="1">
      <c r="B43" s="126" t="s">
        <v>81</v>
      </c>
      <c r="C43" s="127"/>
      <c r="D43" s="93">
        <v>173328</v>
      </c>
      <c r="E43" s="93">
        <v>3570557</v>
      </c>
      <c r="F43" s="79">
        <f t="shared" si="2"/>
        <v>1071167.0999999999</v>
      </c>
      <c r="G43" s="130">
        <v>0</v>
      </c>
      <c r="H43" s="130"/>
      <c r="I43" s="151">
        <f t="shared" si="1"/>
        <v>4641724.0999999996</v>
      </c>
      <c r="J43" s="152"/>
      <c r="K43" s="37"/>
    </row>
    <row r="44" spans="2:11" ht="12.6" customHeight="1">
      <c r="B44" s="126" t="s">
        <v>82</v>
      </c>
      <c r="C44" s="127"/>
      <c r="D44" s="93">
        <v>502494</v>
      </c>
      <c r="E44" s="93">
        <v>10351376</v>
      </c>
      <c r="F44" s="79">
        <f t="shared" si="2"/>
        <v>3105412.8</v>
      </c>
      <c r="G44" s="130">
        <v>0</v>
      </c>
      <c r="H44" s="130"/>
      <c r="I44" s="151">
        <f t="shared" si="1"/>
        <v>13456788.800000001</v>
      </c>
      <c r="J44" s="152"/>
      <c r="K44" s="37"/>
    </row>
    <row r="45" spans="2:11" ht="12.6" customHeight="1">
      <c r="B45" s="126" t="s">
        <v>83</v>
      </c>
      <c r="C45" s="127"/>
      <c r="D45" s="93">
        <v>478500</v>
      </c>
      <c r="E45" s="93">
        <v>9857100</v>
      </c>
      <c r="F45" s="79">
        <f t="shared" si="2"/>
        <v>2957130</v>
      </c>
      <c r="G45" s="130">
        <v>0</v>
      </c>
      <c r="H45" s="130"/>
      <c r="I45" s="151">
        <f t="shared" si="1"/>
        <v>12814230</v>
      </c>
      <c r="J45" s="152"/>
      <c r="K45" s="37"/>
    </row>
    <row r="46" spans="2:11" ht="13.9" thickBot="1">
      <c r="B46" s="31"/>
      <c r="C46" s="31"/>
    </row>
    <row r="47" spans="2:11">
      <c r="B47" s="117" t="s">
        <v>41</v>
      </c>
      <c r="C47" s="120"/>
      <c r="D47" s="121"/>
      <c r="E47" s="121"/>
      <c r="F47" s="121"/>
      <c r="G47" s="121"/>
      <c r="H47" s="121"/>
      <c r="I47" s="121"/>
      <c r="J47" s="121"/>
      <c r="K47" s="122"/>
    </row>
    <row r="48" spans="2:11">
      <c r="B48" s="118"/>
      <c r="C48" s="123" t="s">
        <v>40</v>
      </c>
      <c r="D48" s="124"/>
      <c r="E48" s="124"/>
      <c r="F48" s="124"/>
      <c r="G48" s="124"/>
      <c r="H48" s="124"/>
      <c r="I48" s="124"/>
      <c r="J48" s="124"/>
      <c r="K48" s="125"/>
    </row>
    <row r="49" spans="2:11">
      <c r="B49" s="118"/>
      <c r="C49" s="123" t="s">
        <v>59</v>
      </c>
      <c r="D49" s="124"/>
      <c r="E49" s="124"/>
      <c r="F49" s="124"/>
      <c r="G49" s="124"/>
      <c r="H49" s="124"/>
      <c r="I49" s="124"/>
      <c r="J49" s="124"/>
      <c r="K49" s="125"/>
    </row>
    <row r="50" spans="2:11" ht="13.9" thickBot="1">
      <c r="B50" s="119"/>
      <c r="C50" s="114"/>
      <c r="D50" s="115"/>
      <c r="E50" s="115"/>
      <c r="F50" s="115"/>
      <c r="G50" s="115"/>
      <c r="H50" s="115"/>
      <c r="I50" s="115"/>
      <c r="J50" s="115"/>
      <c r="K50" s="116"/>
    </row>
    <row r="51" spans="2:11">
      <c r="B51" s="31"/>
      <c r="C51" s="31"/>
      <c r="H51" s="31"/>
      <c r="I51" s="31"/>
      <c r="J51" s="31"/>
    </row>
    <row r="52" spans="2:11" s="39" customFormat="1" ht="11.25"/>
    <row r="53" spans="2:11" s="39" customFormat="1" ht="13.15">
      <c r="H53" s="36"/>
      <c r="I53" s="36"/>
      <c r="J53" s="36"/>
      <c r="K53" s="36" t="s">
        <v>30</v>
      </c>
    </row>
    <row r="54" spans="2:11" s="39" customFormat="1" ht="13.15">
      <c r="H54" s="36"/>
      <c r="I54" s="36"/>
      <c r="J54" s="36"/>
      <c r="K54" s="36" t="s">
        <v>38</v>
      </c>
    </row>
    <row r="55" spans="2:11" s="39" customFormat="1" ht="11.25"/>
    <row r="56" spans="2:11" s="39" customFormat="1" ht="11.25"/>
    <row r="58" spans="2:11">
      <c r="H58" s="31"/>
      <c r="I58" s="31"/>
      <c r="J58" s="31"/>
    </row>
    <row r="59" spans="2:11">
      <c r="H59" s="31"/>
      <c r="I59" s="31"/>
      <c r="J59" s="31"/>
    </row>
  </sheetData>
  <mergeCells count="81">
    <mergeCell ref="B32:C32"/>
    <mergeCell ref="B28:C28"/>
    <mergeCell ref="F22:G22"/>
    <mergeCell ref="H22:J22"/>
    <mergeCell ref="G35:H35"/>
    <mergeCell ref="I32:J32"/>
    <mergeCell ref="I31:J31"/>
    <mergeCell ref="I30:J30"/>
    <mergeCell ref="I25:J25"/>
    <mergeCell ref="I28:J28"/>
    <mergeCell ref="I29:J29"/>
    <mergeCell ref="G28:H28"/>
    <mergeCell ref="G29:H29"/>
    <mergeCell ref="G30:H30"/>
    <mergeCell ref="G31:H31"/>
    <mergeCell ref="I34:J34"/>
    <mergeCell ref="I41:J41"/>
    <mergeCell ref="I33:J33"/>
    <mergeCell ref="I40:J40"/>
    <mergeCell ref="I39:J39"/>
    <mergeCell ref="I38:J38"/>
    <mergeCell ref="I37:J37"/>
    <mergeCell ref="I36:J36"/>
    <mergeCell ref="G42:H42"/>
    <mergeCell ref="I45:J45"/>
    <mergeCell ref="I44:J44"/>
    <mergeCell ref="I43:J43"/>
    <mergeCell ref="I42:J42"/>
    <mergeCell ref="B38:C38"/>
    <mergeCell ref="B39:C39"/>
    <mergeCell ref="G37:H37"/>
    <mergeCell ref="G38:H38"/>
    <mergeCell ref="G39:H39"/>
    <mergeCell ref="B6:D6"/>
    <mergeCell ref="G36:H36"/>
    <mergeCell ref="G40:H40"/>
    <mergeCell ref="G41:H41"/>
    <mergeCell ref="G32:H32"/>
    <mergeCell ref="G33:H33"/>
    <mergeCell ref="G34:H34"/>
    <mergeCell ref="H21:J21"/>
    <mergeCell ref="B25:H25"/>
    <mergeCell ref="B34:C34"/>
    <mergeCell ref="B29:C29"/>
    <mergeCell ref="B30:C30"/>
    <mergeCell ref="B31:C31"/>
    <mergeCell ref="B33:C33"/>
    <mergeCell ref="I35:J35"/>
    <mergeCell ref="B40:C40"/>
    <mergeCell ref="B1:H1"/>
    <mergeCell ref="B4:K4"/>
    <mergeCell ref="F21:G21"/>
    <mergeCell ref="B35:C35"/>
    <mergeCell ref="B36:C36"/>
    <mergeCell ref="F27:H27"/>
    <mergeCell ref="J6:K6"/>
    <mergeCell ref="J7:K7"/>
    <mergeCell ref="J8:K8"/>
    <mergeCell ref="J9:K9"/>
    <mergeCell ref="J10:K10"/>
    <mergeCell ref="J11:K11"/>
    <mergeCell ref="C18:E18"/>
    <mergeCell ref="C7:D7"/>
    <mergeCell ref="C8:D8"/>
    <mergeCell ref="C9:D9"/>
    <mergeCell ref="C21:E21"/>
    <mergeCell ref="B37:C37"/>
    <mergeCell ref="C22:E22"/>
    <mergeCell ref="C50:K50"/>
    <mergeCell ref="B47:B50"/>
    <mergeCell ref="C47:K47"/>
    <mergeCell ref="C48:K48"/>
    <mergeCell ref="C49:K49"/>
    <mergeCell ref="B44:C44"/>
    <mergeCell ref="B42:C42"/>
    <mergeCell ref="B43:C43"/>
    <mergeCell ref="B41:C41"/>
    <mergeCell ref="G44:H44"/>
    <mergeCell ref="G45:H45"/>
    <mergeCell ref="B45:C45"/>
    <mergeCell ref="G43:H43"/>
  </mergeCells>
  <phoneticPr fontId="9" type="noConversion"/>
  <printOptions horizontalCentered="1"/>
  <pageMargins left="0.15748031496062992" right="0.15748031496062992" top="0.19685039370078741" bottom="0.19685039370078741" header="0.19685039370078741" footer="0.15748031496062992"/>
  <pageSetup paperSize="9" scale="68" fitToHeight="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9"/>
  <sheetViews>
    <sheetView view="pageBreakPreview" topLeftCell="B1" zoomScaleNormal="86" zoomScaleSheetLayoutView="100" workbookViewId="0">
      <selection activeCell="B7" sqref="B7:D7"/>
    </sheetView>
  </sheetViews>
  <sheetFormatPr defaultColWidth="8.8203125" defaultRowHeight="16.899999999999999"/>
  <cols>
    <col min="1" max="1" width="1.41015625" style="2" customWidth="1"/>
    <col min="2" max="2" width="12.703125" style="2" customWidth="1"/>
    <col min="3" max="3" width="13.17578125" style="2" customWidth="1"/>
    <col min="4" max="6" width="13.52734375" style="2" customWidth="1"/>
    <col min="7" max="7" width="13.05859375" style="2" customWidth="1"/>
    <col min="8" max="9" width="5.41015625" style="2" customWidth="1"/>
    <col min="10" max="10" width="14.5859375" style="2" customWidth="1"/>
    <col min="11" max="11" width="20.87890625" style="2" customWidth="1"/>
    <col min="12" max="12" width="8.8203125" style="2" customWidth="1"/>
    <col min="13" max="16384" width="8.8203125" style="2"/>
  </cols>
  <sheetData>
    <row r="1" spans="2:12">
      <c r="L1" s="168"/>
    </row>
    <row r="2" spans="2:12" ht="17.25" thickBot="1">
      <c r="B2" s="171" t="s">
        <v>66</v>
      </c>
      <c r="C2" s="171"/>
      <c r="D2" s="171"/>
      <c r="E2" s="171"/>
      <c r="F2" s="171"/>
      <c r="G2" s="171"/>
      <c r="H2" s="171"/>
      <c r="I2" s="171"/>
      <c r="J2" s="171"/>
      <c r="K2" s="171"/>
      <c r="L2" s="168"/>
    </row>
    <row r="3" spans="2:12" ht="18" customHeight="1">
      <c r="B3" s="172" t="s">
        <v>31</v>
      </c>
      <c r="C3" s="167" t="s">
        <v>32</v>
      </c>
      <c r="D3" s="167" t="s">
        <v>86</v>
      </c>
      <c r="E3" s="167" t="s">
        <v>93</v>
      </c>
      <c r="F3" s="167" t="s">
        <v>94</v>
      </c>
      <c r="G3" s="178" t="s">
        <v>90</v>
      </c>
      <c r="H3" s="167" t="s">
        <v>97</v>
      </c>
      <c r="I3" s="167"/>
      <c r="J3" s="167" t="s">
        <v>33</v>
      </c>
      <c r="K3" s="175" t="s">
        <v>89</v>
      </c>
    </row>
    <row r="4" spans="2:12">
      <c r="B4" s="173"/>
      <c r="C4" s="174"/>
      <c r="D4" s="174"/>
      <c r="E4" s="174"/>
      <c r="F4" s="174"/>
      <c r="G4" s="179"/>
      <c r="H4" s="177"/>
      <c r="I4" s="177"/>
      <c r="J4" s="174"/>
      <c r="K4" s="176"/>
    </row>
    <row r="5" spans="2:12">
      <c r="B5" s="173"/>
      <c r="C5" s="174"/>
      <c r="D5" s="174"/>
      <c r="E5" s="174"/>
      <c r="F5" s="174"/>
      <c r="G5" s="180"/>
      <c r="H5" s="80" t="s">
        <v>102</v>
      </c>
      <c r="I5" s="80" t="s">
        <v>98</v>
      </c>
      <c r="J5" s="174"/>
      <c r="K5" s="176"/>
    </row>
    <row r="6" spans="2:12" ht="17.45" customHeight="1">
      <c r="B6" s="105" t="s">
        <v>101</v>
      </c>
      <c r="C6" s="69" t="s">
        <v>100</v>
      </c>
      <c r="D6" s="89" t="s">
        <v>106</v>
      </c>
      <c r="E6" s="89" t="s">
        <v>95</v>
      </c>
      <c r="F6" s="89">
        <v>8</v>
      </c>
      <c r="G6" s="89" t="s">
        <v>91</v>
      </c>
      <c r="H6" s="70">
        <v>1</v>
      </c>
      <c r="I6" s="70">
        <v>0.5</v>
      </c>
      <c r="J6" s="68">
        <f>SUM(H6:I6)</f>
        <v>1.5</v>
      </c>
      <c r="K6" s="90" t="s">
        <v>99</v>
      </c>
    </row>
    <row r="7" spans="2:12" ht="17.25" thickBot="1">
      <c r="B7" s="169" t="s">
        <v>34</v>
      </c>
      <c r="C7" s="170"/>
      <c r="D7" s="170"/>
      <c r="E7" s="102"/>
      <c r="F7" s="102"/>
      <c r="G7" s="102"/>
      <c r="H7" s="29">
        <f>SUM(H6:H6)</f>
        <v>1</v>
      </c>
      <c r="I7" s="29">
        <f>SUM(I6:I6)</f>
        <v>0.5</v>
      </c>
      <c r="J7" s="29">
        <f>SUM(J6:J6)</f>
        <v>1.5</v>
      </c>
      <c r="K7" s="30"/>
    </row>
    <row r="8" spans="2:12">
      <c r="H8" s="103"/>
      <c r="I8" s="103"/>
    </row>
    <row r="9" spans="2:12">
      <c r="H9" s="168"/>
      <c r="I9" s="168"/>
    </row>
  </sheetData>
  <mergeCells count="14">
    <mergeCell ref="H3:I3"/>
    <mergeCell ref="H9:I9"/>
    <mergeCell ref="L1:L2"/>
    <mergeCell ref="B7:D7"/>
    <mergeCell ref="B2:K2"/>
    <mergeCell ref="B3:B5"/>
    <mergeCell ref="C3:C5"/>
    <mergeCell ref="D3:D5"/>
    <mergeCell ref="J3:J5"/>
    <mergeCell ref="K3:K5"/>
    <mergeCell ref="H4:I4"/>
    <mergeCell ref="G3:G5"/>
    <mergeCell ref="E3:E5"/>
    <mergeCell ref="F3:F5"/>
  </mergeCells>
  <phoneticPr fontId="9" type="noConversion"/>
  <pageMargins left="0.25" right="0.25" top="0.75" bottom="0.75" header="0.3" footer="0.3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2"/>
  <sheetViews>
    <sheetView workbookViewId="0">
      <selection activeCell="C22" sqref="C22"/>
    </sheetView>
  </sheetViews>
  <sheetFormatPr defaultColWidth="8.87890625" defaultRowHeight="16.899999999999999"/>
  <cols>
    <col min="1" max="1" width="2.5859375" style="1" customWidth="1"/>
    <col min="2" max="2" width="25.29296875" style="1" customWidth="1"/>
    <col min="3" max="7" width="12.87890625" style="1" customWidth="1"/>
    <col min="8" max="16384" width="8.87890625" style="1"/>
  </cols>
  <sheetData>
    <row r="1" spans="2:7" ht="21" customHeight="1">
      <c r="B1" s="181" t="s">
        <v>1</v>
      </c>
      <c r="C1" s="181"/>
      <c r="D1" s="181"/>
      <c r="E1" s="181"/>
      <c r="F1" s="181"/>
      <c r="G1" s="181"/>
    </row>
    <row r="2" spans="2:7" ht="21" customHeight="1"/>
    <row r="3" spans="2:7" ht="21" customHeight="1">
      <c r="B3" s="1" t="s">
        <v>2</v>
      </c>
      <c r="G3" s="1" t="s">
        <v>0</v>
      </c>
    </row>
    <row r="4" spans="2:7" ht="21" customHeight="1"/>
    <row r="5" spans="2:7" ht="21" customHeight="1">
      <c r="B5" s="1" t="s">
        <v>3</v>
      </c>
    </row>
    <row r="6" spans="2:7" ht="21" customHeight="1"/>
    <row r="7" spans="2:7" ht="21" customHeight="1">
      <c r="B7" s="1" t="s">
        <v>4</v>
      </c>
    </row>
    <row r="8" spans="2:7" ht="21" customHeight="1"/>
    <row r="9" spans="2:7" ht="21" customHeight="1">
      <c r="B9" s="1" t="s">
        <v>5</v>
      </c>
    </row>
    <row r="10" spans="2:7" ht="21" customHeight="1">
      <c r="B10" s="1" t="s">
        <v>6</v>
      </c>
    </row>
    <row r="11" spans="2:7" ht="21" customHeight="1"/>
    <row r="12" spans="2:7" ht="21" customHeight="1">
      <c r="B12" s="1" t="s">
        <v>7</v>
      </c>
    </row>
    <row r="13" spans="2:7" ht="21" customHeight="1">
      <c r="B13" s="1" t="s">
        <v>8</v>
      </c>
    </row>
    <row r="14" spans="2:7" ht="21" customHeight="1">
      <c r="B14" s="1" t="s">
        <v>9</v>
      </c>
    </row>
    <row r="15" spans="2:7" ht="21" customHeight="1">
      <c r="B15" s="1" t="s">
        <v>10</v>
      </c>
    </row>
    <row r="16" spans="2:7" ht="21" customHeight="1">
      <c r="B16" s="1" t="s">
        <v>11</v>
      </c>
    </row>
    <row r="17" spans="2:3" ht="21" customHeight="1"/>
    <row r="18" spans="2:3" ht="21" customHeight="1"/>
    <row r="19" spans="2:3" ht="21" customHeight="1">
      <c r="B19" s="1" t="s">
        <v>12</v>
      </c>
    </row>
    <row r="20" spans="2:3">
      <c r="B20" s="1" t="s">
        <v>13</v>
      </c>
    </row>
    <row r="21" spans="2:3">
      <c r="B21" s="1" t="s">
        <v>14</v>
      </c>
    </row>
    <row r="22" spans="2:3">
      <c r="B22" s="1" t="s">
        <v>15</v>
      </c>
      <c r="C22" s="1" t="s">
        <v>16</v>
      </c>
    </row>
  </sheetData>
  <mergeCells count="1">
    <mergeCell ref="B1:G1"/>
  </mergeCells>
  <phoneticPr fontId="9" type="noConversion"/>
  <pageMargins left="0.75" right="0.75" top="1" bottom="1" header="0.5" footer="0.5"/>
  <pageSetup paperSize="9" orientation="portrait" horizontalDpi="400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견적</vt:lpstr>
      <vt:lpstr>1. 투입공수</vt:lpstr>
      <vt:lpstr>제안 참가 신청서</vt:lpstr>
      <vt:lpstr>'1. 투입공수'!Print_Area</vt:lpstr>
      <vt:lpstr>견적!Print_Area</vt:lpstr>
      <vt:lpstr>견적!Print_Titles</vt:lpstr>
    </vt:vector>
  </TitlesOfParts>
  <Company>MJIT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승국 이</cp:lastModifiedBy>
  <cp:lastPrinted>2023-03-02T05:50:16Z</cp:lastPrinted>
  <dcterms:created xsi:type="dcterms:W3CDTF">2008-11-13T02:30:20Z</dcterms:created>
  <dcterms:modified xsi:type="dcterms:W3CDTF">2026-02-23T03:04:04Z</dcterms:modified>
</cp:coreProperties>
</file>